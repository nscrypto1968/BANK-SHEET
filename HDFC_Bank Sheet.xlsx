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9200" windowHeight="11595" tabRatio="500"/>
  </bookViews>
  <sheets>
    <sheet name="Quarterly Data" sheetId="1" r:id="rId1"/>
    <sheet name="Yearly Data" sheetId="2" r:id="rId2"/>
    <sheet name="Notes &amp; Sources" sheetId="3" r:id="rId3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3" i="1" l="1"/>
  <c r="M13" i="1"/>
  <c r="L13" i="1"/>
  <c r="K13" i="1"/>
  <c r="J13" i="1"/>
  <c r="I13" i="1"/>
  <c r="H13" i="1"/>
  <c r="G13" i="1"/>
  <c r="F13" i="1"/>
  <c r="E13" i="1"/>
  <c r="D13" i="1"/>
  <c r="C13" i="1"/>
  <c r="B13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E21" i="1" l="1"/>
  <c r="E26" i="1" s="1"/>
  <c r="E28" i="1" s="1"/>
  <c r="I21" i="1"/>
  <c r="I26" i="1" s="1"/>
  <c r="I28" i="1" s="1"/>
  <c r="C21" i="1"/>
  <c r="C26" i="1" s="1"/>
  <c r="C28" i="1" s="1"/>
  <c r="G21" i="1"/>
  <c r="G26" i="1" s="1"/>
  <c r="G28" i="1" s="1"/>
  <c r="K21" i="1"/>
  <c r="K26" i="1" s="1"/>
  <c r="K28" i="1" s="1"/>
  <c r="B21" i="1"/>
  <c r="B26" i="1" s="1"/>
  <c r="B28" i="1" s="1"/>
  <c r="F21" i="1"/>
  <c r="F26" i="1" s="1"/>
  <c r="F28" i="1" s="1"/>
  <c r="J21" i="1"/>
  <c r="J26" i="1" s="1"/>
  <c r="J28" i="1" s="1"/>
  <c r="N21" i="1"/>
  <c r="N26" i="1" s="1"/>
  <c r="N28" i="1" s="1"/>
  <c r="D21" i="1"/>
  <c r="D26" i="1" s="1"/>
  <c r="D28" i="1" s="1"/>
  <c r="H21" i="1"/>
  <c r="H26" i="1" s="1"/>
  <c r="H28" i="1" s="1"/>
  <c r="L21" i="1"/>
  <c r="L26" i="1" s="1"/>
  <c r="L28" i="1" s="1"/>
  <c r="M21" i="1"/>
  <c r="M26" i="1" s="1"/>
  <c r="M28" i="1" s="1"/>
</calcChain>
</file>

<file path=xl/sharedStrings.xml><?xml version="1.0" encoding="utf-8"?>
<sst xmlns="http://schemas.openxmlformats.org/spreadsheetml/2006/main" count="183" uniqueCount="142">
  <si>
    <t>HDFC BANK LIMITED - STANDALONE FINANCIAL METRICS  (Amount in Rs. crore)</t>
  </si>
  <si>
    <t>Particulars</t>
  </si>
  <si>
    <t>Jun-23</t>
  </si>
  <si>
    <t>Sep-23</t>
  </si>
  <si>
    <t>Dec-23</t>
  </si>
  <si>
    <t>Mar-24</t>
  </si>
  <si>
    <t>Jun-24</t>
  </si>
  <si>
    <t>Sep-24</t>
  </si>
  <si>
    <t>Dec-24</t>
  </si>
  <si>
    <t>Mar-25</t>
  </si>
  <si>
    <t>Jun-25</t>
  </si>
  <si>
    <t>Sep-25</t>
  </si>
  <si>
    <t>Dec-25</t>
  </si>
  <si>
    <t>Mar-26</t>
  </si>
  <si>
    <t>Jun-26</t>
  </si>
  <si>
    <t>Interest Earned (a)+(b)+(c)+(d)</t>
  </si>
  <si>
    <t xml:space="preserve">  a) Interest / discount on advances / bills</t>
  </si>
  <si>
    <t xml:space="preserve">  b) Income on investments</t>
  </si>
  <si>
    <t xml:space="preserve">  c) Interest on balances with RBI &amp; other inter-bank funds</t>
  </si>
  <si>
    <t xml:space="preserve">  d) Others</t>
  </si>
  <si>
    <t>Interest Earned - Growth (QoQ)</t>
  </si>
  <si>
    <t>Interest Earned - Growth (YoY)</t>
  </si>
  <si>
    <t>Interest Paid (Interest expended)</t>
  </si>
  <si>
    <t>Net Interest Income (NII)</t>
  </si>
  <si>
    <t>NII - Growth (QoQ)</t>
  </si>
  <si>
    <t>NII - Growth (YoY)</t>
  </si>
  <si>
    <t>Other Income</t>
  </si>
  <si>
    <t>Total Income (1)+(2)</t>
  </si>
  <si>
    <t xml:space="preserve">  i) Employee cost</t>
  </si>
  <si>
    <t xml:space="preserve">  ii) Other operating expenses</t>
  </si>
  <si>
    <t>Operating Expenses</t>
  </si>
  <si>
    <t>Total Expenditure (excl. provisions)</t>
  </si>
  <si>
    <t>Operating Profit (before provisions)</t>
  </si>
  <si>
    <t>Operating Profit - Growth (QoQ)</t>
  </si>
  <si>
    <t>Operating Profit - Growth (YoY)</t>
  </si>
  <si>
    <t>Provisions &amp; Contingencies</t>
  </si>
  <si>
    <t>Exceptional Items</t>
  </si>
  <si>
    <t>Profit Before Tax</t>
  </si>
  <si>
    <t>Provision for Taxes</t>
  </si>
  <si>
    <t>Net Profit</t>
  </si>
  <si>
    <t>Net Profit - Growth (QoQ)</t>
  </si>
  <si>
    <t>Net Profit - Growth (YoY)</t>
  </si>
  <si>
    <t>Capital Adequacy Ratio (Basel III) %</t>
  </si>
  <si>
    <t>Equity Share Capital (FV Rs.1/share)</t>
  </si>
  <si>
    <t>EPS (Basic, as reported)</t>
  </si>
  <si>
    <t>Reserves &amp; Surplus (as per Balance Sheet)</t>
  </si>
  <si>
    <t>Book Value / share (Net Worth / shares)</t>
  </si>
  <si>
    <t>Adjusted Book Value / share (= BV; no goodwill adj. disclosed)</t>
  </si>
  <si>
    <t>CMP (NSE quarter-end close, Rs)</t>
  </si>
  <si>
    <t>P/BV (x)</t>
  </si>
  <si>
    <t>Cost to Income Ratio %</t>
  </si>
  <si>
    <t>OPM % [(NII - Op.Exp)/Int.Income]</t>
  </si>
  <si>
    <t>Other Income / Total Income %</t>
  </si>
  <si>
    <t>Gross NPA (Rs cr)</t>
  </si>
  <si>
    <t>Net NPA (Rs cr)</t>
  </si>
  <si>
    <t>Gross NPA %</t>
  </si>
  <si>
    <t>Net NPA %</t>
  </si>
  <si>
    <t>ROA % (as reported)</t>
  </si>
  <si>
    <t>ROE % (annualized, computed)</t>
  </si>
  <si>
    <t>NIM % (as reported, IEA basis)</t>
  </si>
  <si>
    <t>NIM % (est. NII/Avg Total Assets)</t>
  </si>
  <si>
    <t>Provision Coverage Ratio % (computed)</t>
  </si>
  <si>
    <t>Balance Sheet Data</t>
  </si>
  <si>
    <t>Total Advances</t>
  </si>
  <si>
    <t>Total Assets (Balance Sheet size)</t>
  </si>
  <si>
    <t>Total Deposits</t>
  </si>
  <si>
    <t>Term Deposits</t>
  </si>
  <si>
    <t>CASA (Demand + Savings deposits)</t>
  </si>
  <si>
    <t>CASA Ratio %</t>
  </si>
  <si>
    <t>Periods: FY23 (Mar-23) to FY26 (Mar-26)  |  Source: HDFC Bank SEBI financial-results filings (GitHub: nscrypto1968/HDFC) + press releases</t>
  </si>
  <si>
    <t>FY23 (Mar-23)</t>
  </si>
  <si>
    <t>FY24 (Mar-24)</t>
  </si>
  <si>
    <t>FY25 (Mar-25)</t>
  </si>
  <si>
    <t>FY26 (Mar-26)</t>
  </si>
  <si>
    <t>HDFC BANK LIMITED - STANDALONE FINANCIAL METRICS - NOTES &amp; SOURCES</t>
  </si>
  <si>
    <t>1. DATA SOURCE</t>
  </si>
  <si>
    <t xml:space="preserve">   All figures are HDFC Bank STANDALONE (Indian GAAP) results, in Rs crore, extracted from the SEBI-format results filings</t>
  </si>
  <si>
    <t xml:space="preserve">   present in the GitHub repository: https://github.com/nscrypto1968/HDFC  (file: TEMP.xlsx = template; *.pdf = source documents).</t>
  </si>
  <si>
    <t xml:space="preserve">   The repository contains filings for Q1 FY24 to Q1 FY27 (13 quarters) and full years FY23-FY26 (FY23 &amp; FY25 also as</t>
  </si>
  <si>
    <t xml:space="preserve">   comparative columns in later filings; FY26 year from the Mar-2026 filing). CASA/Term-deposit/NIM figures are from HDFC</t>
  </si>
  <si>
    <t xml:space="preserve">   Bank press releases (hdfcbank.com) for the same periods.</t>
  </si>
  <si>
    <t>2. WHAT WAS EXTRACTED</t>
  </si>
  <si>
    <t xml:space="preserve">   The metric structure of TEMP.xlsx (P&amp;L lines, growth, ratios, balance-sheet data) has been filled for every available</t>
  </si>
  <si>
    <t xml:space="preserve">   quarter (Quarterly Data sheet) and every available financial year (Yearly Data sheet).</t>
  </si>
  <si>
    <t>3. NOTES ON INDIVIDUAL ROWS</t>
  </si>
  <si>
    <t xml:space="preserve">   - Q1 FY24 &amp; Q2 FY24 filings are reported in Rs lakh - values have been converted to crore.</t>
  </si>
  <si>
    <t xml:space="preserve">   - 'Net Profit' Q4 FY24 includes a tax credit of Rs 749.25 cr (as reported; tax line shows negative).</t>
  </si>
  <si>
    <t xml:space="preserve">   - 'Provisions &amp; Contingencies' Q4 FY24 (Rs 13,511.64 cr) and Q1 FY26 (Rs 14,441.63 cr) include merger/one-off items</t>
  </si>
  <si>
    <t xml:space="preserve">     (e.g. contingent provision release/creation) as reported in the filings.</t>
  </si>
  <si>
    <t xml:space="preserve">   - 'Reserves' = Reserves &amp; Surplus from the Balance Sheet statement in each filing (results-table row 'Reserves excluding</t>
  </si>
  <si>
    <t xml:space="preserve">     revaluation reserves' is not populated for every quarter).</t>
  </si>
  <si>
    <t xml:space="preserve">   - 'EPS (Basic)': as reported in each filing. From Q1 FY26 onwards per-share data reflects the 1:1 bonus share issue</t>
  </si>
  <si>
    <t xml:space="preserve">     (allotted 28-Aug-2025); earlier quarters are pre-bonus. FY25 year EPS shown restated (44.15) as per later filings;</t>
  </si>
  <si>
    <t xml:space="preserve">     as originally reported FY25 EPS was 88.29.</t>
  </si>
  <si>
    <t xml:space="preserve">   - 'Book Value' = Net Worth / No. of shares (Net Worth line as per filings). 'Adjusted BV' = same (no goodwill/intangible</t>
  </si>
  <si>
    <t xml:space="preserve">     adjustment data is disclosed in these filings).</t>
  </si>
  <si>
    <t xml:space="preserve">   - 'CMP' = NSE closing price on the last trading day of each quarter (Yahoo Finance data); pre-Aug-2025 prices are</t>
  </si>
  <si>
    <t xml:space="preserve">     actual traded prices (bonus-adjusted factor removed). P/BV = CMP / Book Value.</t>
  </si>
  <si>
    <t xml:space="preserve">   - 'ROE %' = Net Profit (annualised x4 for quarters) / average Net Worth - computed, not disclosed.</t>
  </si>
  <si>
    <t xml:space="preserve">   - 'NIM % (as reported)': from HDFC Bank press releases, on interest-earning assets where available (Q2FY26 and Q3FY26</t>
  </si>
  <si>
    <t xml:space="preserve">     are on total-assets basis as reported). 'NIM % (est.)' = NII / average Total Assets, annualised - a proxy, not the</t>
  </si>
  <si>
    <t xml:space="preserve">     bank's reported NIM.</t>
  </si>
  <si>
    <t xml:space="preserve">   - 'PCR %' = 1 - Net NPA / Gross NPA (computed).</t>
  </si>
  <si>
    <t xml:space="preserve">   - 'OPM %' as per template note: (NII - Operating Expenses) / Interest Earned. 'Cost to Income' = Op.Expenses/Total Income.</t>
  </si>
  <si>
    <t xml:space="preserve">   - QoQ/YoY growth rows are computed from the extracted quarter values; the QoQ base (previous quarter) and YoY base</t>
  </si>
  <si>
    <t xml:space="preserve">     (same quarter last year) columns come from the filings' comparative columns.</t>
  </si>
  <si>
    <t xml:space="preserve">   - CASA, Term Deposits, CASA ratio: from press releases/business updates; some cells are estimates derived from</t>
  </si>
  <si>
    <t xml:space="preserve">     reported CASA ratio and total deposits where exact split was not available.</t>
  </si>
  <si>
    <t xml:space="preserve">   - Merger impact: HDFC Ltd amalgamated with HDFC Bank effective 1-Jul-2023. Figures from Q2 FY24 onwards are NOT</t>
  </si>
  <si>
    <t xml:space="preserve">     comparable to earlier quarters (balance sheet roughly doubled).</t>
  </si>
  <si>
    <t>4. EXCLUDED FILES</t>
  </si>
  <si>
    <t xml:space="preserve">   Several PDFs in the repository are the results of Housing Development Finance Corporation Ltd (erstwhile HDFC, the</t>
  </si>
  <si>
    <t xml:space="preserve">   pre-merger parent) - e.g. Standalone-LR-Report-Q3-FY22, hdfc-standalone-result-q4-fy-22, standalone-results-q3fy23,</t>
  </si>
  <si>
    <t xml:space="preserve">   standalone-results-Q4-FY23-v1, limited-review-report-and-standalone-result-june-2022, qtr-standalone-sep-2022,</t>
  </si>
  <si>
    <t xml:space="preserve">   all lrr-standalone-* and the FY20/FY21 auditor report files. These belong to HDFC Ltd, NOT HDFC Bank, and were</t>
  </si>
  <si>
    <t xml:space="preserve">   excluded. 'qtr-consol-june-2021' is consolidated HDFC Ltd - also excluded.</t>
  </si>
  <si>
    <t>5. CAVEATS</t>
  </si>
  <si>
    <t xml:space="preserve">   Source PDFs from Q3 FY23 to Q4 FY26 are scanned images; figures were OCR-extracted and cross-verified across multiple</t>
  </si>
  <si>
    <t xml:space="preserve">   filings (each quarter appears in 2-3 documents) and against HDFC Bank press releases. A small number of cells that</t>
  </si>
  <si>
    <t xml:space="preserve">   could not be fully reconciled are left blank rather than estimated.</t>
  </si>
  <si>
    <t>FY 24 - 25</t>
  </si>
  <si>
    <t>FY 23 - 24</t>
  </si>
  <si>
    <t>FY 25 - 26</t>
  </si>
  <si>
    <t>FY 27</t>
  </si>
  <si>
    <t>Interest / Discount on advances</t>
  </si>
  <si>
    <t>Income on Investments</t>
  </si>
  <si>
    <t>Interest on balances with RBI &amp; other Inter-bank funds</t>
  </si>
  <si>
    <t>Others</t>
  </si>
  <si>
    <t>Growth (QoQ)</t>
  </si>
  <si>
    <t>Growth (YoY)</t>
  </si>
  <si>
    <t>Interest Paid</t>
  </si>
  <si>
    <t>Net Interest Income</t>
  </si>
  <si>
    <t>Employee cost</t>
  </si>
  <si>
    <t>Total Income</t>
  </si>
  <si>
    <t xml:space="preserve">Interest Earned </t>
  </si>
  <si>
    <t>(Amount in Crores)</t>
  </si>
  <si>
    <t>Other Operating expenses</t>
  </si>
  <si>
    <t>Capital Adequacy Ratio %</t>
  </si>
  <si>
    <t xml:space="preserve">EPS </t>
  </si>
  <si>
    <t>Book Value</t>
  </si>
  <si>
    <t>Adjusted Book Value</t>
  </si>
  <si>
    <t xml:space="preserve">CASA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</si>
</sst>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\-"/>
    <numFmt numFmtId="168" formatCode="#,##0.00\x;\-#,##0.00\x\,"/>
  </numFmts>
  <fonts count="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000000"/>
      <name val="Book Antiqua"/>
      <family val="1"/>
    </font>
    <font>
      <sz val="11"/>
      <color rgb="FF000000"/>
      <name val="Book Antiqua"/>
      <family val="1"/>
    </font>
    <font>
      <b/>
      <sz val="11"/>
      <color theme="1"/>
      <name val="Calibri"/>
      <family val="2"/>
      <charset val="1"/>
    </font>
    <font>
      <sz val="11"/>
      <name val="Book Antiqua"/>
      <family val="1"/>
    </font>
    <font>
      <b/>
      <sz val="11"/>
      <name val="Book Antiqua"/>
      <family val="1"/>
    </font>
    <font>
      <i/>
      <sz val="11"/>
      <color indexed="12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39">
    <xf numFmtId="0" fontId="0" fillId="0" borderId="0" xfId="0"/>
    <xf numFmtId="0" fontId="3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2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4" fontId="2" fillId="0" borderId="3" xfId="0" applyNumberFormat="1" applyFont="1" applyBorder="1"/>
    <xf numFmtId="0" fontId="2" fillId="0" borderId="3" xfId="0" applyFont="1" applyBorder="1"/>
    <xf numFmtId="0" fontId="3" fillId="0" borderId="2" xfId="0" applyFont="1" applyBorder="1" applyAlignment="1">
      <alignment horizontal="left" indent="1"/>
    </xf>
    <xf numFmtId="4" fontId="3" fillId="0" borderId="2" xfId="0" applyNumberFormat="1" applyFont="1" applyBorder="1"/>
    <xf numFmtId="2" fontId="3" fillId="0" borderId="2" xfId="0" applyNumberFormat="1" applyFont="1" applyBorder="1"/>
    <xf numFmtId="10" fontId="3" fillId="0" borderId="2" xfId="0" applyNumberFormat="1" applyFont="1" applyBorder="1"/>
    <xf numFmtId="0" fontId="3" fillId="0" borderId="3" xfId="0" applyFont="1" applyBorder="1"/>
    <xf numFmtId="2" fontId="2" fillId="0" borderId="3" xfId="0" applyNumberFormat="1" applyFont="1" applyBorder="1"/>
    <xf numFmtId="0" fontId="2" fillId="0" borderId="0" xfId="0" applyFont="1"/>
    <xf numFmtId="0" fontId="3" fillId="0" borderId="0" xfId="0" applyFont="1"/>
    <xf numFmtId="0" fontId="3" fillId="0" borderId="2" xfId="0" applyFont="1" applyBorder="1" applyAlignment="1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2" xfId="0" applyFont="1" applyBorder="1"/>
    <xf numFmtId="0" fontId="6" fillId="0" borderId="5" xfId="0" applyFont="1" applyBorder="1"/>
    <xf numFmtId="0" fontId="7" fillId="0" borderId="2" xfId="0" applyFont="1" applyBorder="1" applyAlignment="1">
      <alignment horizontal="left" indent="3"/>
    </xf>
    <xf numFmtId="0" fontId="6" fillId="0" borderId="2" xfId="0" applyFont="1" applyBorder="1"/>
    <xf numFmtId="10" fontId="7" fillId="0" borderId="2" xfId="1" applyNumberFormat="1" applyFont="1" applyBorder="1"/>
    <xf numFmtId="164" fontId="3" fillId="0" borderId="2" xfId="0" applyNumberFormat="1" applyFont="1" applyBorder="1" applyAlignment="1">
      <alignment horizontal="center"/>
    </xf>
    <xf numFmtId="4" fontId="2" fillId="0" borderId="2" xfId="0" applyNumberFormat="1" applyFont="1" applyBorder="1"/>
    <xf numFmtId="0" fontId="2" fillId="2" borderId="4" xfId="0" applyFont="1" applyFill="1" applyBorder="1" applyAlignment="1">
      <alignment horizontal="left"/>
    </xf>
    <xf numFmtId="0" fontId="6" fillId="2" borderId="4" xfId="0" applyFont="1" applyFill="1" applyBorder="1"/>
    <xf numFmtId="0" fontId="6" fillId="2" borderId="6" xfId="0" applyFont="1" applyFill="1" applyBorder="1"/>
    <xf numFmtId="0" fontId="6" fillId="2" borderId="5" xfId="0" applyFont="1" applyFill="1" applyBorder="1"/>
    <xf numFmtId="4" fontId="2" fillId="2" borderId="4" xfId="0" applyNumberFormat="1" applyFont="1" applyFill="1" applyBorder="1"/>
    <xf numFmtId="0" fontId="2" fillId="2" borderId="6" xfId="0" applyFont="1" applyFill="1" applyBorder="1" applyAlignment="1">
      <alignment horizontal="left"/>
    </xf>
    <xf numFmtId="4" fontId="2" fillId="2" borderId="6" xfId="0" applyNumberFormat="1" applyFont="1" applyFill="1" applyBorder="1"/>
    <xf numFmtId="4" fontId="2" fillId="2" borderId="5" xfId="0" applyNumberFormat="1" applyFont="1" applyFill="1" applyBorder="1"/>
    <xf numFmtId="168" fontId="3" fillId="0" borderId="2" xfId="0" applyNumberFormat="1" applyFont="1" applyBorder="1"/>
    <xf numFmtId="0" fontId="2" fillId="0" borderId="2" xfId="0" applyFont="1" applyBorder="1" applyAlignment="1">
      <alignment horizontal="left"/>
    </xf>
    <xf numFmtId="0" fontId="4" fillId="0" borderId="0" xfId="0" applyFont="1"/>
    <xf numFmtId="10" fontId="2" fillId="0" borderId="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3" sqref="B3"/>
    </sheetView>
  </sheetViews>
  <sheetFormatPr defaultColWidth="8.7109375" defaultRowHeight="15" x14ac:dyDescent="0.25"/>
  <cols>
    <col min="1" max="1" width="54.85546875" customWidth="1"/>
    <col min="2" max="34" width="14.28515625" customWidth="1"/>
  </cols>
  <sheetData>
    <row r="1" spans="1:14" ht="17.25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5.75" customHeight="1" x14ac:dyDescent="0.3">
      <c r="A2" s="17"/>
      <c r="B2" s="18" t="s">
        <v>121</v>
      </c>
      <c r="C2" s="18"/>
      <c r="D2" s="18"/>
      <c r="E2" s="18"/>
      <c r="F2" s="18" t="s">
        <v>120</v>
      </c>
      <c r="G2" s="18"/>
      <c r="H2" s="18"/>
      <c r="I2" s="18"/>
      <c r="J2" s="18" t="s">
        <v>122</v>
      </c>
      <c r="K2" s="18"/>
      <c r="L2" s="18"/>
      <c r="M2" s="18"/>
      <c r="N2" s="19" t="s">
        <v>123</v>
      </c>
    </row>
    <row r="3" spans="1:14" ht="16.5" customHeight="1" thickBot="1" x14ac:dyDescent="0.3">
      <c r="A3" s="21" t="s">
        <v>135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</row>
    <row r="4" spans="1:14" ht="15.75" customHeight="1" x14ac:dyDescent="0.3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5.75" customHeight="1" x14ac:dyDescent="0.3">
      <c r="A5" s="20" t="s">
        <v>124</v>
      </c>
      <c r="B5" s="10">
        <v>38007.949999999997</v>
      </c>
      <c r="C5" s="10">
        <v>54294.5</v>
      </c>
      <c r="D5" s="10">
        <v>56772.58</v>
      </c>
      <c r="E5" s="10">
        <v>58144.98</v>
      </c>
      <c r="F5" s="10">
        <v>58714.879999999997</v>
      </c>
      <c r="G5" s="10">
        <v>59389.81</v>
      </c>
      <c r="H5" s="10">
        <v>59923.95</v>
      </c>
      <c r="I5" s="10">
        <v>60415.79</v>
      </c>
      <c r="J5" s="10">
        <v>60192.639999999999</v>
      </c>
      <c r="K5" s="10">
        <v>59264.81</v>
      </c>
      <c r="L5" s="10">
        <v>59953.8</v>
      </c>
      <c r="M5" s="10">
        <v>60351.21</v>
      </c>
      <c r="N5" s="10">
        <v>61953.87</v>
      </c>
    </row>
    <row r="6" spans="1:14" ht="15.75" customHeight="1" x14ac:dyDescent="0.3">
      <c r="A6" s="20" t="s">
        <v>125</v>
      </c>
      <c r="B6" s="10">
        <v>8911.24</v>
      </c>
      <c r="C6" s="10">
        <v>11639.51</v>
      </c>
      <c r="D6" s="10">
        <v>12215.78</v>
      </c>
      <c r="E6" s="10">
        <v>11597.75</v>
      </c>
      <c r="F6" s="10">
        <v>12543.82</v>
      </c>
      <c r="G6" s="10">
        <v>12631.6</v>
      </c>
      <c r="H6" s="10">
        <v>13717.1</v>
      </c>
      <c r="I6" s="10">
        <v>14427.17</v>
      </c>
      <c r="J6" s="10">
        <v>15070.08</v>
      </c>
      <c r="K6" s="10">
        <v>15285.48</v>
      </c>
      <c r="L6" s="10">
        <v>14665.83</v>
      </c>
      <c r="M6" s="10">
        <v>13923.99</v>
      </c>
      <c r="N6" s="10">
        <v>14272.21</v>
      </c>
    </row>
    <row r="7" spans="1:14" ht="15.75" customHeight="1" x14ac:dyDescent="0.3">
      <c r="A7" s="20" t="s">
        <v>126</v>
      </c>
      <c r="B7" s="11">
        <v>791.85</v>
      </c>
      <c r="C7" s="11">
        <v>412.91</v>
      </c>
      <c r="D7" s="11">
        <v>376.07</v>
      </c>
      <c r="E7" s="11">
        <v>459.64</v>
      </c>
      <c r="F7" s="11">
        <v>472.89</v>
      </c>
      <c r="G7" s="11">
        <v>674.74</v>
      </c>
      <c r="H7" s="11">
        <v>757.56</v>
      </c>
      <c r="I7" s="11">
        <v>601.12</v>
      </c>
      <c r="J7" s="11">
        <v>670.17</v>
      </c>
      <c r="K7" s="11">
        <v>554.79</v>
      </c>
      <c r="L7" s="11">
        <v>570.33000000000004</v>
      </c>
      <c r="M7" s="11">
        <v>879.41</v>
      </c>
      <c r="N7" s="10">
        <v>1365.28</v>
      </c>
    </row>
    <row r="8" spans="1:14" ht="15.75" customHeight="1" x14ac:dyDescent="0.3">
      <c r="A8" s="20" t="s">
        <v>127</v>
      </c>
      <c r="B8" s="11">
        <v>875.77</v>
      </c>
      <c r="C8" s="10">
        <v>1351.47</v>
      </c>
      <c r="D8" s="10">
        <v>1218.18</v>
      </c>
      <c r="E8" s="10">
        <v>1270.3800000000001</v>
      </c>
      <c r="F8" s="10">
        <v>1301.55</v>
      </c>
      <c r="G8" s="10">
        <v>1320.76</v>
      </c>
      <c r="H8" s="10">
        <v>1608.27</v>
      </c>
      <c r="I8" s="10">
        <v>2016.03</v>
      </c>
      <c r="J8" s="10">
        <v>1537.31</v>
      </c>
      <c r="K8" s="10">
        <v>1585.62</v>
      </c>
      <c r="L8" s="10">
        <v>1561.2</v>
      </c>
      <c r="M8" s="10">
        <v>1455.41</v>
      </c>
      <c r="N8" s="10">
        <v>1771.42</v>
      </c>
    </row>
    <row r="9" spans="1:14" ht="15.75" customHeight="1" thickBot="1" x14ac:dyDescent="0.3">
      <c r="A9" s="30" t="s">
        <v>134</v>
      </c>
      <c r="B9" s="34">
        <v>48586.81</v>
      </c>
      <c r="C9" s="34">
        <v>67698.39</v>
      </c>
      <c r="D9" s="34">
        <v>70582.61</v>
      </c>
      <c r="E9" s="34">
        <v>71472.75</v>
      </c>
      <c r="F9" s="34">
        <v>73033.14</v>
      </c>
      <c r="G9" s="34">
        <v>74016.91</v>
      </c>
      <c r="H9" s="34">
        <v>76006.880000000005</v>
      </c>
      <c r="I9" s="34">
        <v>77460.11</v>
      </c>
      <c r="J9" s="34">
        <v>77470.2</v>
      </c>
      <c r="K9" s="34">
        <v>76690.7</v>
      </c>
      <c r="L9" s="34">
        <v>76751.16</v>
      </c>
      <c r="M9" s="34">
        <v>76610.02</v>
      </c>
      <c r="N9" s="34">
        <v>79362.78</v>
      </c>
    </row>
    <row r="10" spans="1:14" ht="15.75" customHeight="1" x14ac:dyDescent="0.25">
      <c r="A10" s="22" t="s">
        <v>128</v>
      </c>
      <c r="B10" s="24">
        <v>7.6899999999999996E-2</v>
      </c>
      <c r="C10" s="24">
        <v>0.39329999999999998</v>
      </c>
      <c r="D10" s="24">
        <v>4.2599999999999999E-2</v>
      </c>
      <c r="E10" s="24">
        <v>1.26E-2</v>
      </c>
      <c r="F10" s="24">
        <v>2.18E-2</v>
      </c>
      <c r="G10" s="24">
        <v>1.35E-2</v>
      </c>
      <c r="H10" s="24">
        <v>2.69E-2</v>
      </c>
      <c r="I10" s="24">
        <v>1.9099999999999999E-2</v>
      </c>
      <c r="J10" s="24">
        <v>1E-4</v>
      </c>
      <c r="K10" s="24">
        <v>-1.01E-2</v>
      </c>
      <c r="L10" s="24">
        <v>8.0000000000000004E-4</v>
      </c>
      <c r="M10" s="24">
        <v>-1.8E-3</v>
      </c>
      <c r="N10" s="24">
        <v>3.5900000000000001E-2</v>
      </c>
    </row>
    <row r="11" spans="1:14" ht="15.75" customHeight="1" x14ac:dyDescent="0.25">
      <c r="A11" s="22" t="s">
        <v>129</v>
      </c>
      <c r="B11" s="24">
        <v>0.38140000000000002</v>
      </c>
      <c r="C11" s="24">
        <v>0.75449999999999995</v>
      </c>
      <c r="D11" s="24">
        <v>0.65269999999999995</v>
      </c>
      <c r="E11" s="24">
        <v>0.58409999999999995</v>
      </c>
      <c r="F11" s="24">
        <v>0.50309999999999999</v>
      </c>
      <c r="G11" s="24">
        <v>9.3299999999999994E-2</v>
      </c>
      <c r="H11" s="24">
        <v>7.6799999999999993E-2</v>
      </c>
      <c r="I11" s="24">
        <v>8.3799999999999999E-2</v>
      </c>
      <c r="J11" s="24">
        <v>6.08E-2</v>
      </c>
      <c r="K11" s="24">
        <v>3.61E-2</v>
      </c>
      <c r="L11" s="24">
        <v>9.7999999999999997E-3</v>
      </c>
      <c r="M11" s="24">
        <v>-1.0999999999999999E-2</v>
      </c>
      <c r="N11" s="24">
        <v>2.4400000000000002E-2</v>
      </c>
    </row>
    <row r="12" spans="1:14" ht="15.75" customHeight="1" x14ac:dyDescent="0.3">
      <c r="A12" s="20" t="s">
        <v>130</v>
      </c>
      <c r="B12" s="10">
        <v>24987.74</v>
      </c>
      <c r="C12" s="10">
        <v>40313.160000000003</v>
      </c>
      <c r="D12" s="10">
        <v>42111.27</v>
      </c>
      <c r="E12" s="10">
        <v>42395.93</v>
      </c>
      <c r="F12" s="10">
        <v>43196</v>
      </c>
      <c r="G12" s="10">
        <v>43903.01</v>
      </c>
      <c r="H12" s="10">
        <v>45353.63</v>
      </c>
      <c r="I12" s="10">
        <v>45394.31</v>
      </c>
      <c r="J12" s="10">
        <v>46032.23</v>
      </c>
      <c r="K12" s="10">
        <v>45139.199999999997</v>
      </c>
      <c r="L12" s="10">
        <v>44136.160000000003</v>
      </c>
      <c r="M12" s="10">
        <v>43528.45</v>
      </c>
      <c r="N12" s="10">
        <v>45828.83</v>
      </c>
    </row>
    <row r="13" spans="1:14" ht="15.75" customHeight="1" thickBot="1" x14ac:dyDescent="0.3">
      <c r="A13" s="29" t="s">
        <v>131</v>
      </c>
      <c r="B13" s="33">
        <f>B9-B12</f>
        <v>23599.069999999996</v>
      </c>
      <c r="C13" s="33">
        <f t="shared" ref="C13:N13" si="0">C9-C12</f>
        <v>27385.229999999996</v>
      </c>
      <c r="D13" s="33">
        <f t="shared" si="0"/>
        <v>28471.340000000004</v>
      </c>
      <c r="E13" s="33">
        <f t="shared" si="0"/>
        <v>29076.82</v>
      </c>
      <c r="F13" s="33">
        <f t="shared" si="0"/>
        <v>29837.14</v>
      </c>
      <c r="G13" s="33">
        <f t="shared" si="0"/>
        <v>30113.9</v>
      </c>
      <c r="H13" s="33">
        <f t="shared" si="0"/>
        <v>30653.250000000007</v>
      </c>
      <c r="I13" s="33">
        <f t="shared" si="0"/>
        <v>32065.800000000003</v>
      </c>
      <c r="J13" s="33">
        <f t="shared" si="0"/>
        <v>31437.969999999994</v>
      </c>
      <c r="K13" s="33">
        <f t="shared" si="0"/>
        <v>31551.5</v>
      </c>
      <c r="L13" s="33">
        <f t="shared" si="0"/>
        <v>32615</v>
      </c>
      <c r="M13" s="33">
        <f t="shared" si="0"/>
        <v>33081.570000000007</v>
      </c>
      <c r="N13" s="33">
        <f t="shared" si="0"/>
        <v>33533.949999999997</v>
      </c>
    </row>
    <row r="14" spans="1:14" ht="15.75" customHeight="1" thickTop="1" x14ac:dyDescent="0.25">
      <c r="A14" s="22" t="s">
        <v>128</v>
      </c>
      <c r="B14" s="24">
        <v>1.06E-2</v>
      </c>
      <c r="C14" s="24">
        <v>0.16039999999999999</v>
      </c>
      <c r="D14" s="24">
        <v>3.9699999999999999E-2</v>
      </c>
      <c r="E14" s="24">
        <v>2.1299999999999999E-2</v>
      </c>
      <c r="F14" s="24">
        <v>2.6100000000000002E-2</v>
      </c>
      <c r="G14" s="24">
        <v>9.2999999999999992E-3</v>
      </c>
      <c r="H14" s="24">
        <v>1.7899999999999999E-2</v>
      </c>
      <c r="I14" s="24">
        <v>4.6100000000000002E-2</v>
      </c>
      <c r="J14" s="24">
        <v>-1.9599999999999999E-2</v>
      </c>
      <c r="K14" s="24">
        <v>3.5999999999999999E-3</v>
      </c>
      <c r="L14" s="24">
        <v>3.3700000000000001E-2</v>
      </c>
      <c r="M14" s="24">
        <v>1.43E-2</v>
      </c>
      <c r="N14" s="24">
        <v>1.37E-2</v>
      </c>
    </row>
    <row r="15" spans="1:14" ht="15.75" customHeight="1" x14ac:dyDescent="0.25">
      <c r="A15" s="22" t="s">
        <v>129</v>
      </c>
      <c r="B15" s="24">
        <v>0.2114</v>
      </c>
      <c r="C15" s="24">
        <v>0.30270000000000002</v>
      </c>
      <c r="D15" s="24">
        <v>0.23849999999999999</v>
      </c>
      <c r="E15" s="24">
        <v>0.2452</v>
      </c>
      <c r="F15" s="24">
        <v>0.26429999999999998</v>
      </c>
      <c r="G15" s="24">
        <v>9.9599999999999994E-2</v>
      </c>
      <c r="H15" s="24">
        <v>7.6600000000000001E-2</v>
      </c>
      <c r="I15" s="24">
        <v>0.1028</v>
      </c>
      <c r="J15" s="24">
        <v>5.3699999999999998E-2</v>
      </c>
      <c r="K15" s="24">
        <v>4.7699999999999999E-2</v>
      </c>
      <c r="L15" s="24">
        <v>6.4000000000000001E-2</v>
      </c>
      <c r="M15" s="24">
        <v>3.1699999999999999E-2</v>
      </c>
      <c r="N15" s="24">
        <v>6.6699999999999995E-2</v>
      </c>
    </row>
    <row r="16" spans="1:14" ht="15.75" customHeight="1" x14ac:dyDescent="0.3">
      <c r="A16" s="20" t="s">
        <v>26</v>
      </c>
      <c r="B16" s="10">
        <v>9229.86</v>
      </c>
      <c r="C16" s="10">
        <v>10707.84</v>
      </c>
      <c r="D16" s="10">
        <v>11137.04</v>
      </c>
      <c r="E16" s="10">
        <v>18166.25</v>
      </c>
      <c r="F16" s="10">
        <v>10668.11</v>
      </c>
      <c r="G16" s="10">
        <v>11482.73</v>
      </c>
      <c r="H16" s="10">
        <v>11453.56</v>
      </c>
      <c r="I16" s="10">
        <v>12027.88</v>
      </c>
      <c r="J16" s="10">
        <v>21729.83</v>
      </c>
      <c r="K16" s="10">
        <v>14350.02</v>
      </c>
      <c r="L16" s="10">
        <v>13253.84</v>
      </c>
      <c r="M16" s="10">
        <v>13198.88</v>
      </c>
      <c r="N16" s="10">
        <v>12821.6</v>
      </c>
    </row>
    <row r="17" spans="1:14" ht="15.75" customHeight="1" x14ac:dyDescent="0.25">
      <c r="A17" s="28" t="s">
        <v>133</v>
      </c>
      <c r="B17" s="31">
        <f>B9+B16</f>
        <v>57816.67</v>
      </c>
      <c r="C17" s="31">
        <f t="shared" ref="C17:N17" si="1">C9+C16</f>
        <v>78406.23</v>
      </c>
      <c r="D17" s="31">
        <f t="shared" si="1"/>
        <v>81719.649999999994</v>
      </c>
      <c r="E17" s="31">
        <f t="shared" si="1"/>
        <v>89639</v>
      </c>
      <c r="F17" s="31">
        <f t="shared" si="1"/>
        <v>83701.25</v>
      </c>
      <c r="G17" s="31">
        <f t="shared" si="1"/>
        <v>85499.64</v>
      </c>
      <c r="H17" s="31">
        <f t="shared" si="1"/>
        <v>87460.44</v>
      </c>
      <c r="I17" s="31">
        <f t="shared" si="1"/>
        <v>89487.99</v>
      </c>
      <c r="J17" s="31">
        <f t="shared" si="1"/>
        <v>99200.03</v>
      </c>
      <c r="K17" s="31">
        <f t="shared" si="1"/>
        <v>91040.72</v>
      </c>
      <c r="L17" s="31">
        <f t="shared" si="1"/>
        <v>90005</v>
      </c>
      <c r="M17" s="31">
        <f t="shared" si="1"/>
        <v>89808.900000000009</v>
      </c>
      <c r="N17" s="31">
        <f t="shared" si="1"/>
        <v>92184.38</v>
      </c>
    </row>
    <row r="18" spans="1:14" ht="15.75" customHeight="1" x14ac:dyDescent="0.3">
      <c r="A18" s="20" t="s">
        <v>132</v>
      </c>
      <c r="B18" s="10">
        <v>4782.07</v>
      </c>
      <c r="C18" s="10">
        <v>5170.49</v>
      </c>
      <c r="D18" s="10">
        <v>5351.76</v>
      </c>
      <c r="E18" s="10">
        <v>6936.19</v>
      </c>
      <c r="F18" s="10">
        <v>5848.88</v>
      </c>
      <c r="G18" s="10">
        <v>5985.3</v>
      </c>
      <c r="H18" s="10">
        <v>5950.41</v>
      </c>
      <c r="I18" s="10">
        <v>6115.94</v>
      </c>
      <c r="J18" s="10">
        <v>6157.97</v>
      </c>
      <c r="K18" s="10">
        <v>6461.29</v>
      </c>
      <c r="L18" s="10">
        <v>7203.17</v>
      </c>
      <c r="M18" s="10">
        <v>6227.72</v>
      </c>
      <c r="N18" s="10">
        <v>6414.83</v>
      </c>
    </row>
    <row r="19" spans="1:14" ht="15.75" customHeight="1" x14ac:dyDescent="0.3">
      <c r="A19" s="20" t="s">
        <v>136</v>
      </c>
      <c r="B19" s="10">
        <v>9274.84</v>
      </c>
      <c r="C19" s="10">
        <v>10229</v>
      </c>
      <c r="D19" s="10">
        <v>10609.32</v>
      </c>
      <c r="E19" s="10">
        <v>11032.64</v>
      </c>
      <c r="F19" s="10">
        <v>10771.73</v>
      </c>
      <c r="G19" s="10">
        <v>10905.59</v>
      </c>
      <c r="H19" s="10">
        <v>11156</v>
      </c>
      <c r="I19" s="10">
        <v>11441.04</v>
      </c>
      <c r="J19" s="10">
        <v>11275.87</v>
      </c>
      <c r="K19" s="10">
        <v>11516.63</v>
      </c>
      <c r="L19" s="10">
        <v>11567.87</v>
      </c>
      <c r="M19" s="10">
        <v>12249.81</v>
      </c>
      <c r="N19" s="10">
        <v>11772.66</v>
      </c>
    </row>
    <row r="20" spans="1:14" ht="15.75" customHeight="1" x14ac:dyDescent="0.25">
      <c r="A20" s="23" t="s">
        <v>30</v>
      </c>
      <c r="B20" s="26">
        <f>B19+B18</f>
        <v>14056.91</v>
      </c>
      <c r="C20" s="26">
        <f t="shared" ref="C20:N20" si="2">C19+C18</f>
        <v>15399.49</v>
      </c>
      <c r="D20" s="26">
        <f t="shared" si="2"/>
        <v>15961.08</v>
      </c>
      <c r="E20" s="26">
        <f t="shared" si="2"/>
        <v>17968.829999999998</v>
      </c>
      <c r="F20" s="26">
        <f t="shared" si="2"/>
        <v>16620.61</v>
      </c>
      <c r="G20" s="26">
        <f t="shared" si="2"/>
        <v>16890.89</v>
      </c>
      <c r="H20" s="26">
        <f t="shared" si="2"/>
        <v>17106.41</v>
      </c>
      <c r="I20" s="26">
        <f t="shared" si="2"/>
        <v>17556.98</v>
      </c>
      <c r="J20" s="26">
        <f t="shared" si="2"/>
        <v>17433.84</v>
      </c>
      <c r="K20" s="26">
        <f t="shared" si="2"/>
        <v>17977.919999999998</v>
      </c>
      <c r="L20" s="26">
        <f t="shared" si="2"/>
        <v>18771.04</v>
      </c>
      <c r="M20" s="26">
        <f t="shared" si="2"/>
        <v>18477.53</v>
      </c>
      <c r="N20" s="26">
        <f t="shared" si="2"/>
        <v>18187.489999999998</v>
      </c>
    </row>
    <row r="21" spans="1:14" ht="15.75" customHeight="1" x14ac:dyDescent="0.25">
      <c r="A21" s="27" t="s">
        <v>32</v>
      </c>
      <c r="B21" s="31">
        <f>B13+B16-B20</f>
        <v>18772.019999999993</v>
      </c>
      <c r="C21" s="31">
        <f t="shared" ref="C21:N21" si="3">C13+C16-C20</f>
        <v>22693.579999999994</v>
      </c>
      <c r="D21" s="31">
        <f t="shared" si="3"/>
        <v>23647.300000000003</v>
      </c>
      <c r="E21" s="31">
        <f t="shared" si="3"/>
        <v>29274.240000000002</v>
      </c>
      <c r="F21" s="31">
        <f t="shared" si="3"/>
        <v>23884.639999999999</v>
      </c>
      <c r="G21" s="31">
        <f t="shared" si="3"/>
        <v>24705.740000000005</v>
      </c>
      <c r="H21" s="31">
        <f t="shared" si="3"/>
        <v>25000.400000000005</v>
      </c>
      <c r="I21" s="31">
        <f t="shared" si="3"/>
        <v>26536.7</v>
      </c>
      <c r="J21" s="31">
        <f t="shared" si="3"/>
        <v>35733.959999999992</v>
      </c>
      <c r="K21" s="31">
        <f t="shared" si="3"/>
        <v>27923.600000000006</v>
      </c>
      <c r="L21" s="31">
        <f t="shared" si="3"/>
        <v>27097.799999999996</v>
      </c>
      <c r="M21" s="31">
        <f t="shared" si="3"/>
        <v>27802.920000000006</v>
      </c>
      <c r="N21" s="31">
        <f t="shared" si="3"/>
        <v>28168.059999999998</v>
      </c>
    </row>
    <row r="22" spans="1:14" ht="15.75" customHeight="1" x14ac:dyDescent="0.25">
      <c r="A22" s="22" t="s">
        <v>128</v>
      </c>
      <c r="B22" s="24">
        <v>8.0999999999999996E-3</v>
      </c>
      <c r="C22" s="24">
        <v>0.2089</v>
      </c>
      <c r="D22" s="24">
        <v>4.2000000000000003E-2</v>
      </c>
      <c r="E22" s="24">
        <v>0.23799999999999999</v>
      </c>
      <c r="F22" s="24">
        <v>-0.18410000000000001</v>
      </c>
      <c r="G22" s="24">
        <v>3.44E-2</v>
      </c>
      <c r="H22" s="24">
        <v>1.1900000000000001E-2</v>
      </c>
      <c r="I22" s="24">
        <v>6.1499999999999999E-2</v>
      </c>
      <c r="J22" s="24">
        <v>0.34660000000000002</v>
      </c>
      <c r="K22" s="24">
        <v>-0.21859999999999999</v>
      </c>
      <c r="L22" s="24">
        <v>-2.9600000000000001E-2</v>
      </c>
      <c r="M22" s="24">
        <v>2.5999999999999999E-2</v>
      </c>
      <c r="N22" s="24">
        <v>1.3100000000000001E-2</v>
      </c>
    </row>
    <row r="23" spans="1:14" ht="15.75" customHeight="1" x14ac:dyDescent="0.25">
      <c r="A23" s="22" t="s">
        <v>129</v>
      </c>
      <c r="B23" s="24">
        <v>0.2215</v>
      </c>
      <c r="C23" s="24">
        <v>0.30480000000000002</v>
      </c>
      <c r="D23" s="24">
        <v>0.24299999999999999</v>
      </c>
      <c r="E23" s="24">
        <v>0.57210000000000005</v>
      </c>
      <c r="F23" s="24">
        <v>0.27239999999999998</v>
      </c>
      <c r="G23" s="24">
        <v>8.8700000000000001E-2</v>
      </c>
      <c r="H23" s="24">
        <v>5.7200000000000001E-2</v>
      </c>
      <c r="I23" s="24">
        <v>-9.35E-2</v>
      </c>
      <c r="J23" s="24">
        <v>0.49609999999999999</v>
      </c>
      <c r="K23" s="24">
        <v>0.13020000000000001</v>
      </c>
      <c r="L23" s="24">
        <v>8.3900000000000002E-2</v>
      </c>
      <c r="M23" s="24">
        <v>4.7699999999999999E-2</v>
      </c>
      <c r="N23" s="24">
        <v>-0.2117</v>
      </c>
    </row>
    <row r="24" spans="1:14" ht="15.75" customHeight="1" x14ac:dyDescent="0.3">
      <c r="A24" s="3" t="s">
        <v>35</v>
      </c>
      <c r="B24" s="10">
        <v>2860.03</v>
      </c>
      <c r="C24" s="10">
        <v>2903.83</v>
      </c>
      <c r="D24" s="10">
        <v>4216.6400000000003</v>
      </c>
      <c r="E24" s="10">
        <v>13511.64</v>
      </c>
      <c r="F24" s="10">
        <v>2602.06</v>
      </c>
      <c r="G24" s="10">
        <v>2700.46</v>
      </c>
      <c r="H24" s="10">
        <v>3153.85</v>
      </c>
      <c r="I24" s="10">
        <v>3193.05</v>
      </c>
      <c r="J24" s="10">
        <v>14441.63</v>
      </c>
      <c r="K24" s="10">
        <v>3500.53</v>
      </c>
      <c r="L24" s="10">
        <v>2837.86</v>
      </c>
      <c r="M24" s="10">
        <v>2609.5700000000002</v>
      </c>
      <c r="N24" s="10">
        <v>3059.76</v>
      </c>
    </row>
    <row r="25" spans="1:14" ht="15.75" customHeight="1" x14ac:dyDescent="0.3">
      <c r="A25" s="3" t="s">
        <v>36</v>
      </c>
      <c r="B25" s="25">
        <v>0</v>
      </c>
      <c r="C25" s="25">
        <v>0</v>
      </c>
      <c r="D25" s="25">
        <v>0</v>
      </c>
      <c r="E25" s="25">
        <v>0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</row>
    <row r="26" spans="1:14" ht="15.75" customHeight="1" x14ac:dyDescent="0.25">
      <c r="A26" s="27" t="s">
        <v>37</v>
      </c>
      <c r="B26" s="31">
        <f>B21-B24-B25</f>
        <v>15911.989999999993</v>
      </c>
      <c r="C26" s="31">
        <f t="shared" ref="C26:N26" si="4">C21-C24-C25</f>
        <v>19789.749999999993</v>
      </c>
      <c r="D26" s="31">
        <f t="shared" si="4"/>
        <v>19430.660000000003</v>
      </c>
      <c r="E26" s="31">
        <f t="shared" si="4"/>
        <v>15762.600000000002</v>
      </c>
      <c r="F26" s="31">
        <f t="shared" si="4"/>
        <v>21282.579999999998</v>
      </c>
      <c r="G26" s="31">
        <f t="shared" si="4"/>
        <v>22005.280000000006</v>
      </c>
      <c r="H26" s="31">
        <f t="shared" si="4"/>
        <v>21846.550000000007</v>
      </c>
      <c r="I26" s="31">
        <f t="shared" si="4"/>
        <v>23343.65</v>
      </c>
      <c r="J26" s="31">
        <f t="shared" si="4"/>
        <v>21292.329999999994</v>
      </c>
      <c r="K26" s="31">
        <f t="shared" si="4"/>
        <v>24423.070000000007</v>
      </c>
      <c r="L26" s="31">
        <f t="shared" si="4"/>
        <v>24259.939999999995</v>
      </c>
      <c r="M26" s="31">
        <f t="shared" si="4"/>
        <v>25193.350000000006</v>
      </c>
      <c r="N26" s="31">
        <f t="shared" si="4"/>
        <v>25108.299999999996</v>
      </c>
    </row>
    <row r="27" spans="1:14" ht="15.75" customHeight="1" x14ac:dyDescent="0.3">
      <c r="A27" s="3" t="s">
        <v>38</v>
      </c>
      <c r="B27" s="10">
        <v>3960.22</v>
      </c>
      <c r="C27" s="10">
        <v>3813.94</v>
      </c>
      <c r="D27" s="10">
        <v>3058.12</v>
      </c>
      <c r="E27" s="11">
        <v>-749.25</v>
      </c>
      <c r="F27" s="10">
        <v>5107.83</v>
      </c>
      <c r="G27" s="10">
        <v>5184.3100000000004</v>
      </c>
      <c r="H27" s="10">
        <v>5111.05</v>
      </c>
      <c r="I27" s="10">
        <v>5727.51</v>
      </c>
      <c r="J27" s="10">
        <v>3137.12</v>
      </c>
      <c r="K27" s="10">
        <v>5781.79</v>
      </c>
      <c r="L27" s="10">
        <v>5606.19</v>
      </c>
      <c r="M27" s="10">
        <v>5972.3</v>
      </c>
      <c r="N27" s="10">
        <v>6048.58</v>
      </c>
    </row>
    <row r="28" spans="1:14" ht="15.75" customHeight="1" thickBot="1" x14ac:dyDescent="0.3">
      <c r="A28" s="32" t="s">
        <v>39</v>
      </c>
      <c r="B28" s="33">
        <f>B26-B27</f>
        <v>11951.769999999993</v>
      </c>
      <c r="C28" s="33">
        <f t="shared" ref="C28:N28" si="5">C26-C27</f>
        <v>15975.809999999992</v>
      </c>
      <c r="D28" s="33">
        <f t="shared" si="5"/>
        <v>16372.540000000005</v>
      </c>
      <c r="E28" s="33">
        <f t="shared" si="5"/>
        <v>16511.850000000002</v>
      </c>
      <c r="F28" s="33">
        <f t="shared" si="5"/>
        <v>16174.749999999998</v>
      </c>
      <c r="G28" s="33">
        <f t="shared" si="5"/>
        <v>16820.970000000005</v>
      </c>
      <c r="H28" s="33">
        <f t="shared" si="5"/>
        <v>16735.500000000007</v>
      </c>
      <c r="I28" s="33">
        <f t="shared" si="5"/>
        <v>17616.14</v>
      </c>
      <c r="J28" s="33">
        <f t="shared" si="5"/>
        <v>18155.209999999995</v>
      </c>
      <c r="K28" s="33">
        <f t="shared" si="5"/>
        <v>18641.280000000006</v>
      </c>
      <c r="L28" s="33">
        <f t="shared" si="5"/>
        <v>18653.749999999996</v>
      </c>
      <c r="M28" s="33">
        <f t="shared" si="5"/>
        <v>19221.050000000007</v>
      </c>
      <c r="N28" s="33">
        <f t="shared" si="5"/>
        <v>19059.719999999994</v>
      </c>
    </row>
    <row r="29" spans="1:14" ht="15.75" customHeight="1" thickTop="1" x14ac:dyDescent="0.25">
      <c r="A29" s="22" t="s">
        <v>128</v>
      </c>
      <c r="B29" s="24">
        <v>-7.9000000000000008E-3</v>
      </c>
      <c r="C29" s="24">
        <v>0.3367</v>
      </c>
      <c r="D29" s="24">
        <v>2.4799999999999999E-2</v>
      </c>
      <c r="E29" s="24">
        <v>8.5000000000000006E-3</v>
      </c>
      <c r="F29" s="24">
        <v>-2.0400000000000001E-2</v>
      </c>
      <c r="G29" s="24">
        <v>0.04</v>
      </c>
      <c r="H29" s="24">
        <v>-5.1000000000000004E-3</v>
      </c>
      <c r="I29" s="24">
        <v>5.2600000000000001E-2</v>
      </c>
      <c r="J29" s="24">
        <v>3.0599999999999999E-2</v>
      </c>
      <c r="K29" s="24">
        <v>2.6800000000000001E-2</v>
      </c>
      <c r="L29" s="24">
        <v>6.9999999999999999E-4</v>
      </c>
      <c r="M29" s="24">
        <v>2.9899999999999999E-2</v>
      </c>
      <c r="N29" s="24">
        <v>-8.3999999999999995E-3</v>
      </c>
    </row>
    <row r="30" spans="1:14" ht="15.75" customHeight="1" x14ac:dyDescent="0.25">
      <c r="A30" s="22" t="s">
        <v>129</v>
      </c>
      <c r="B30" s="24">
        <v>0.29970000000000002</v>
      </c>
      <c r="C30" s="24">
        <v>0.50639999999999996</v>
      </c>
      <c r="D30" s="24">
        <v>0.33550000000000002</v>
      </c>
      <c r="E30" s="24">
        <v>0.37059999999999998</v>
      </c>
      <c r="F30" s="24">
        <v>0.3533</v>
      </c>
      <c r="G30" s="24">
        <v>5.2900000000000003E-2</v>
      </c>
      <c r="H30" s="24">
        <v>2.2200000000000001E-2</v>
      </c>
      <c r="I30" s="24">
        <v>6.6900000000000001E-2</v>
      </c>
      <c r="J30" s="24">
        <v>0.12239999999999999</v>
      </c>
      <c r="K30" s="24">
        <v>0.1082</v>
      </c>
      <c r="L30" s="24">
        <v>0.11459999999999999</v>
      </c>
      <c r="M30" s="24">
        <v>9.11E-2</v>
      </c>
      <c r="N30" s="24">
        <v>4.9799999999999997E-2</v>
      </c>
    </row>
    <row r="31" spans="1:14" ht="15.75" customHeight="1" x14ac:dyDescent="0.3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ht="15.75" customHeight="1" x14ac:dyDescent="0.3">
      <c r="A32" s="3" t="s">
        <v>137</v>
      </c>
      <c r="B32" s="12">
        <v>0.1893</v>
      </c>
      <c r="C32" s="12">
        <v>0.19539999999999999</v>
      </c>
      <c r="D32" s="12">
        <v>0.18390000000000001</v>
      </c>
      <c r="E32" s="12">
        <v>0.188</v>
      </c>
      <c r="F32" s="12">
        <v>0.1933</v>
      </c>
      <c r="G32" s="12">
        <v>0.19769999999999999</v>
      </c>
      <c r="H32" s="12">
        <v>0.19969999999999999</v>
      </c>
      <c r="I32" s="12">
        <v>0.19550000000000001</v>
      </c>
      <c r="J32" s="12">
        <v>0.1988</v>
      </c>
      <c r="K32" s="12">
        <v>0.1996</v>
      </c>
      <c r="L32" s="12">
        <v>0.19550000000000001</v>
      </c>
      <c r="M32" s="12">
        <v>0.1971</v>
      </c>
      <c r="N32" s="12">
        <v>0.19570000000000001</v>
      </c>
    </row>
    <row r="33" spans="1:14" ht="15.75" customHeight="1" x14ac:dyDescent="0.3">
      <c r="A33" s="3" t="s">
        <v>43</v>
      </c>
      <c r="B33" s="11">
        <v>559.17999999999995</v>
      </c>
      <c r="C33" s="11">
        <v>758.18</v>
      </c>
      <c r="D33" s="11">
        <v>759.25</v>
      </c>
      <c r="E33" s="11">
        <v>759.69</v>
      </c>
      <c r="F33" s="11">
        <v>760.81</v>
      </c>
      <c r="G33" s="11">
        <v>763.08</v>
      </c>
      <c r="H33" s="11">
        <v>764.83</v>
      </c>
      <c r="I33" s="11">
        <v>765.22</v>
      </c>
      <c r="J33" s="11">
        <v>766.79</v>
      </c>
      <c r="K33" s="10">
        <v>1536.37</v>
      </c>
      <c r="L33" s="10">
        <v>1538.46</v>
      </c>
      <c r="M33" s="10">
        <v>1539.34</v>
      </c>
      <c r="N33" s="10">
        <v>1540.13</v>
      </c>
    </row>
    <row r="34" spans="1:14" ht="15.75" customHeight="1" x14ac:dyDescent="0.3">
      <c r="A34" s="3" t="s">
        <v>138</v>
      </c>
      <c r="B34" s="11">
        <v>21.4</v>
      </c>
      <c r="C34" s="11">
        <v>21.13</v>
      </c>
      <c r="D34" s="11">
        <v>21.58</v>
      </c>
      <c r="E34" s="11">
        <v>21.74</v>
      </c>
      <c r="F34" s="11">
        <v>21.28</v>
      </c>
      <c r="G34" s="11">
        <v>22.08</v>
      </c>
      <c r="H34" s="11">
        <v>21.9</v>
      </c>
      <c r="I34" s="11">
        <v>23.02</v>
      </c>
      <c r="J34" s="11">
        <v>23.68</v>
      </c>
      <c r="K34" s="11">
        <v>12.13</v>
      </c>
      <c r="L34" s="11">
        <v>12.13</v>
      </c>
      <c r="M34" s="11">
        <v>12.49</v>
      </c>
      <c r="N34" s="11">
        <v>12.38</v>
      </c>
    </row>
    <row r="35" spans="1:14" ht="15.75" customHeight="1" x14ac:dyDescent="0.3">
      <c r="A35" s="3" t="s">
        <v>45</v>
      </c>
      <c r="B35" s="10">
        <v>293255.40999999997</v>
      </c>
      <c r="C35" s="10">
        <v>404271.66</v>
      </c>
      <c r="D35" s="10">
        <v>421540.56</v>
      </c>
      <c r="E35" s="10">
        <v>436833.39</v>
      </c>
      <c r="F35" s="10">
        <v>454865.35</v>
      </c>
      <c r="G35" s="10">
        <v>459479.64</v>
      </c>
      <c r="H35" s="10">
        <v>478860.01</v>
      </c>
      <c r="I35" s="10">
        <v>496854.21</v>
      </c>
      <c r="J35" s="10">
        <v>517829.63</v>
      </c>
      <c r="K35" s="10">
        <v>516688.69</v>
      </c>
      <c r="L35" s="10">
        <v>536666.52</v>
      </c>
      <c r="M35" s="10">
        <v>536816.44999999995</v>
      </c>
      <c r="N35" s="10">
        <v>576658.41</v>
      </c>
    </row>
    <row r="36" spans="1:14" ht="15.75" customHeight="1" x14ac:dyDescent="0.3">
      <c r="A36" s="3" t="s">
        <v>139</v>
      </c>
      <c r="B36" s="11">
        <v>512.16</v>
      </c>
      <c r="C36" s="11">
        <v>523.92999999999995</v>
      </c>
      <c r="D36" s="11">
        <v>546.79999999999995</v>
      </c>
      <c r="E36" s="11">
        <v>562.91</v>
      </c>
      <c r="F36" s="11">
        <v>584.63</v>
      </c>
      <c r="G36" s="11">
        <v>589.89</v>
      </c>
      <c r="H36" s="11">
        <v>613.07000000000005</v>
      </c>
      <c r="I36" s="11">
        <v>638.9</v>
      </c>
      <c r="J36" s="11">
        <v>663.55</v>
      </c>
      <c r="K36" s="11">
        <v>330.35</v>
      </c>
      <c r="L36" s="11">
        <v>342.51</v>
      </c>
      <c r="M36" s="11">
        <v>354.91</v>
      </c>
      <c r="N36" s="11">
        <v>367.63</v>
      </c>
    </row>
    <row r="37" spans="1:14" ht="15.75" customHeight="1" x14ac:dyDescent="0.3">
      <c r="A37" s="3" t="s">
        <v>140</v>
      </c>
      <c r="B37" s="11">
        <v>512.16</v>
      </c>
      <c r="C37" s="11">
        <v>523.92999999999995</v>
      </c>
      <c r="D37" s="11">
        <v>546.79999999999995</v>
      </c>
      <c r="E37" s="11">
        <v>562.91</v>
      </c>
      <c r="F37" s="11">
        <v>584.63</v>
      </c>
      <c r="G37" s="11">
        <v>589.89</v>
      </c>
      <c r="H37" s="11">
        <v>613.07000000000005</v>
      </c>
      <c r="I37" s="11">
        <v>638.9</v>
      </c>
      <c r="J37" s="11">
        <v>663.55</v>
      </c>
      <c r="K37" s="11">
        <v>330.35</v>
      </c>
      <c r="L37" s="11">
        <v>342.51</v>
      </c>
      <c r="M37" s="11">
        <v>354.91</v>
      </c>
      <c r="N37" s="11">
        <v>367.63</v>
      </c>
    </row>
    <row r="38" spans="1:14" ht="15.75" customHeight="1" x14ac:dyDescent="0.3">
      <c r="A38" s="3" t="s">
        <v>48</v>
      </c>
      <c r="B38" s="11">
        <v>1701.4</v>
      </c>
      <c r="C38" s="11">
        <v>1526.3</v>
      </c>
      <c r="D38" s="11">
        <v>1709.24</v>
      </c>
      <c r="E38" s="11">
        <v>1447.9</v>
      </c>
      <c r="F38" s="11">
        <v>1683.8</v>
      </c>
      <c r="G38" s="11">
        <v>1732.06</v>
      </c>
      <c r="H38" s="11">
        <v>1772.84</v>
      </c>
      <c r="I38" s="11">
        <v>1828.2</v>
      </c>
      <c r="J38" s="11">
        <v>2001.5</v>
      </c>
      <c r="K38" s="11">
        <v>951</v>
      </c>
      <c r="L38" s="11">
        <v>991.2</v>
      </c>
      <c r="M38" s="11">
        <v>731.55</v>
      </c>
      <c r="N38" s="11">
        <v>797.95</v>
      </c>
    </row>
    <row r="39" spans="1:14" ht="15.75" customHeight="1" x14ac:dyDescent="0.3">
      <c r="A39" s="3" t="s">
        <v>49</v>
      </c>
      <c r="B39" s="35">
        <v>3.32</v>
      </c>
      <c r="C39" s="35">
        <v>2.91</v>
      </c>
      <c r="D39" s="35">
        <v>3.13</v>
      </c>
      <c r="E39" s="35">
        <v>2.57</v>
      </c>
      <c r="F39" s="35">
        <v>2.88</v>
      </c>
      <c r="G39" s="35">
        <v>2.94</v>
      </c>
      <c r="H39" s="35">
        <v>2.89</v>
      </c>
      <c r="I39" s="35">
        <v>2.86</v>
      </c>
      <c r="J39" s="35">
        <v>3.02</v>
      </c>
      <c r="K39" s="35">
        <v>2.88</v>
      </c>
      <c r="L39" s="35">
        <v>2.89</v>
      </c>
      <c r="M39" s="35">
        <v>2.06</v>
      </c>
      <c r="N39" s="35">
        <v>2.17</v>
      </c>
    </row>
    <row r="40" spans="1:14" ht="15.75" customHeight="1" x14ac:dyDescent="0.3">
      <c r="A40" s="3" t="s">
        <v>50</v>
      </c>
      <c r="B40" s="11">
        <v>24.31</v>
      </c>
      <c r="C40" s="11">
        <v>19.64</v>
      </c>
      <c r="D40" s="11">
        <v>19.53</v>
      </c>
      <c r="E40" s="11">
        <v>20.05</v>
      </c>
      <c r="F40" s="11">
        <v>19.86</v>
      </c>
      <c r="G40" s="11">
        <v>19.760000000000002</v>
      </c>
      <c r="H40" s="11">
        <v>19.559999999999999</v>
      </c>
      <c r="I40" s="11">
        <v>19.62</v>
      </c>
      <c r="J40" s="11">
        <v>17.57</v>
      </c>
      <c r="K40" s="11">
        <v>19.75</v>
      </c>
      <c r="L40" s="11">
        <v>20.86</v>
      </c>
      <c r="M40" s="11">
        <v>20.57</v>
      </c>
      <c r="N40" s="11">
        <v>19.73</v>
      </c>
    </row>
    <row r="41" spans="1:14" ht="15.75" customHeight="1" x14ac:dyDescent="0.3">
      <c r="A41" s="3" t="s">
        <v>51</v>
      </c>
      <c r="B41" s="12">
        <v>0.19639999999999999</v>
      </c>
      <c r="C41" s="12">
        <v>0.17710000000000001</v>
      </c>
      <c r="D41" s="12">
        <v>0.1772</v>
      </c>
      <c r="E41" s="12">
        <v>0.15540000000000001</v>
      </c>
      <c r="F41" s="12">
        <v>0.18099999999999999</v>
      </c>
      <c r="G41" s="12">
        <v>0.17860000000000001</v>
      </c>
      <c r="H41" s="12">
        <v>0.1782</v>
      </c>
      <c r="I41" s="12">
        <v>0.18729999999999999</v>
      </c>
      <c r="J41" s="12">
        <v>0.18079999999999999</v>
      </c>
      <c r="K41" s="12">
        <v>0.17699999999999999</v>
      </c>
      <c r="L41" s="12">
        <v>0.1804</v>
      </c>
      <c r="M41" s="12">
        <v>0.19059999999999999</v>
      </c>
      <c r="N41" s="12">
        <v>0.19339999999999999</v>
      </c>
    </row>
    <row r="42" spans="1:14" ht="15.75" customHeight="1" x14ac:dyDescent="0.3">
      <c r="A42" s="3" t="s">
        <v>52</v>
      </c>
      <c r="B42" s="12">
        <v>0.15959999999999999</v>
      </c>
      <c r="C42" s="12">
        <v>0.1366</v>
      </c>
      <c r="D42" s="12">
        <v>0.1363</v>
      </c>
      <c r="E42" s="12">
        <v>0.20269999999999999</v>
      </c>
      <c r="F42" s="12">
        <v>0.1275</v>
      </c>
      <c r="G42" s="12">
        <v>0.1343</v>
      </c>
      <c r="H42" s="12">
        <v>0.13100000000000001</v>
      </c>
      <c r="I42" s="12">
        <v>0.13439999999999999</v>
      </c>
      <c r="J42" s="12">
        <v>0.21909999999999999</v>
      </c>
      <c r="K42" s="12">
        <v>0.15759999999999999</v>
      </c>
      <c r="L42" s="12">
        <v>0.14729999999999999</v>
      </c>
      <c r="M42" s="12">
        <v>0.14699999999999999</v>
      </c>
      <c r="N42" s="12">
        <v>0.1391</v>
      </c>
    </row>
    <row r="43" spans="1:14" ht="15.75" customHeight="1" x14ac:dyDescent="0.3">
      <c r="A43" s="3" t="s">
        <v>53</v>
      </c>
      <c r="B43" s="10">
        <v>19064.12</v>
      </c>
      <c r="C43" s="10">
        <v>31577.89</v>
      </c>
      <c r="D43" s="10">
        <v>31011.67</v>
      </c>
      <c r="E43" s="10">
        <v>31173.32</v>
      </c>
      <c r="F43" s="10">
        <v>33025.69</v>
      </c>
      <c r="G43" s="10">
        <v>34250.620000000003</v>
      </c>
      <c r="H43" s="10">
        <v>34250.620000000003</v>
      </c>
      <c r="I43" s="10">
        <v>34061.19</v>
      </c>
      <c r="J43" s="10">
        <v>37040.800000000003</v>
      </c>
      <c r="K43" s="10">
        <v>36018.58</v>
      </c>
      <c r="L43" s="10">
        <v>35178.980000000003</v>
      </c>
      <c r="M43" s="10">
        <v>34061.19</v>
      </c>
      <c r="N43" s="10">
        <v>35846.35</v>
      </c>
    </row>
    <row r="44" spans="1:14" ht="15.75" customHeight="1" x14ac:dyDescent="0.3">
      <c r="A44" s="3" t="s">
        <v>54</v>
      </c>
      <c r="B44" s="10">
        <v>4776.87</v>
      </c>
      <c r="C44" s="10">
        <v>8072.79</v>
      </c>
      <c r="D44" s="10">
        <v>7664.1</v>
      </c>
      <c r="E44" s="10">
        <v>8091.74</v>
      </c>
      <c r="F44" s="10">
        <v>9508.44</v>
      </c>
      <c r="G44" s="10">
        <v>9508.44</v>
      </c>
      <c r="H44" s="10">
        <v>11769.54</v>
      </c>
      <c r="I44" s="10">
        <v>11320.43</v>
      </c>
      <c r="J44" s="10">
        <v>12275.99</v>
      </c>
      <c r="K44" s="10">
        <v>12038.62</v>
      </c>
      <c r="L44" s="10">
        <v>11981.75</v>
      </c>
      <c r="M44" s="10">
        <v>11169.54</v>
      </c>
      <c r="N44" s="10">
        <v>12357.27</v>
      </c>
    </row>
    <row r="45" spans="1:14" ht="15.75" customHeight="1" x14ac:dyDescent="0.3">
      <c r="A45" s="3" t="s">
        <v>55</v>
      </c>
      <c r="B45" s="12">
        <v>1.17E-2</v>
      </c>
      <c r="C45" s="12">
        <v>1.34E-2</v>
      </c>
      <c r="D45" s="12">
        <v>1.26E-2</v>
      </c>
      <c r="E45" s="12">
        <v>1.24E-2</v>
      </c>
      <c r="F45" s="12">
        <v>1.3299999999999999E-2</v>
      </c>
      <c r="G45" s="12">
        <v>1.3599999999999999E-2</v>
      </c>
      <c r="H45" s="12">
        <v>1.4200000000000001E-2</v>
      </c>
      <c r="I45" s="12">
        <v>1.3299999999999999E-2</v>
      </c>
      <c r="J45" s="12">
        <v>1.4E-2</v>
      </c>
      <c r="K45" s="12">
        <v>1.29E-2</v>
      </c>
      <c r="L45" s="12">
        <v>1.24E-2</v>
      </c>
      <c r="M45" s="12">
        <v>1.15E-2</v>
      </c>
      <c r="N45" s="12">
        <v>1.17E-2</v>
      </c>
    </row>
    <row r="46" spans="1:14" ht="15.75" customHeight="1" x14ac:dyDescent="0.3">
      <c r="A46" s="3" t="s">
        <v>56</v>
      </c>
      <c r="B46" s="12">
        <v>3.0000000000000001E-3</v>
      </c>
      <c r="C46" s="12">
        <v>3.5000000000000001E-3</v>
      </c>
      <c r="D46" s="12">
        <v>3.0999999999999999E-3</v>
      </c>
      <c r="E46" s="12">
        <v>3.3E-3</v>
      </c>
      <c r="F46" s="12">
        <v>3.8999999999999998E-3</v>
      </c>
      <c r="G46" s="12">
        <v>4.1000000000000003E-3</v>
      </c>
      <c r="H46" s="12">
        <v>4.5999999999999999E-3</v>
      </c>
      <c r="I46" s="12">
        <v>4.3E-3</v>
      </c>
      <c r="J46" s="12">
        <v>4.7000000000000002E-3</v>
      </c>
      <c r="K46" s="12">
        <v>4.4000000000000003E-3</v>
      </c>
      <c r="L46" s="12">
        <v>4.1999999999999997E-3</v>
      </c>
      <c r="M46" s="12">
        <v>3.8E-3</v>
      </c>
      <c r="N46" s="12">
        <v>4.1000000000000003E-3</v>
      </c>
    </row>
    <row r="47" spans="1:14" ht="15.75" customHeight="1" x14ac:dyDescent="0.3">
      <c r="A47" s="3" t="s">
        <v>57</v>
      </c>
      <c r="B47" s="12">
        <v>5.1000000000000004E-3</v>
      </c>
      <c r="C47" s="12">
        <v>5.0000000000000001E-3</v>
      </c>
      <c r="D47" s="12">
        <v>4.8999999999999998E-3</v>
      </c>
      <c r="E47" s="12">
        <v>4.8999999999999998E-3</v>
      </c>
      <c r="F47" s="12">
        <v>4.7000000000000002E-3</v>
      </c>
      <c r="G47" s="12">
        <v>4.8999999999999998E-3</v>
      </c>
      <c r="H47" s="12">
        <v>4.7000000000000002E-3</v>
      </c>
      <c r="I47" s="12">
        <v>4.7999999999999996E-3</v>
      </c>
      <c r="J47" s="12">
        <v>4.7999999999999996E-3</v>
      </c>
      <c r="K47" s="12">
        <v>4.5999999999999999E-3</v>
      </c>
      <c r="L47" s="12">
        <v>4.7999999999999996E-3</v>
      </c>
      <c r="M47" s="12">
        <v>4.7999999999999996E-3</v>
      </c>
      <c r="N47" s="12">
        <v>4.1000000000000003E-3</v>
      </c>
    </row>
    <row r="48" spans="1:14" ht="15.75" customHeight="1" x14ac:dyDescent="0.3">
      <c r="A48" s="3" t="s">
        <v>58</v>
      </c>
      <c r="B48" s="12">
        <v>0.1709</v>
      </c>
      <c r="C48" s="12">
        <v>0.187</v>
      </c>
      <c r="D48" s="12">
        <v>0.16120000000000001</v>
      </c>
      <c r="E48" s="12">
        <v>0.15670000000000001</v>
      </c>
      <c r="F48" s="12">
        <v>0.14829999999999999</v>
      </c>
      <c r="G48" s="12">
        <v>0.15040000000000001</v>
      </c>
      <c r="H48" s="12">
        <v>0.1457</v>
      </c>
      <c r="I48" s="12">
        <v>0.14710000000000001</v>
      </c>
      <c r="J48" s="12">
        <v>0.14560000000000001</v>
      </c>
      <c r="K48" s="12">
        <v>0.1467</v>
      </c>
      <c r="L48" s="12">
        <v>0.14430000000000001</v>
      </c>
      <c r="M48" s="12">
        <v>0.14330000000000001</v>
      </c>
      <c r="N48" s="12">
        <v>0.1371</v>
      </c>
    </row>
    <row r="49" spans="1:14" ht="15.75" customHeight="1" x14ac:dyDescent="0.3">
      <c r="A49" s="3" t="s">
        <v>59</v>
      </c>
      <c r="B49" s="12">
        <v>4.2999999999999997E-2</v>
      </c>
      <c r="C49" s="12">
        <v>3.85E-2</v>
      </c>
      <c r="D49" s="12">
        <v>3.5999999999999997E-2</v>
      </c>
      <c r="E49" s="12">
        <v>3.6299999999999999E-2</v>
      </c>
      <c r="F49" s="12">
        <v>3.6600000000000001E-2</v>
      </c>
      <c r="G49" s="12">
        <v>3.4599999999999999E-2</v>
      </c>
      <c r="H49" s="12">
        <v>3.6200000000000003E-2</v>
      </c>
      <c r="I49" s="12">
        <v>3.6499999999999998E-2</v>
      </c>
      <c r="J49" s="12">
        <v>3.5000000000000003E-2</v>
      </c>
      <c r="K49" s="12">
        <v>3.27E-2</v>
      </c>
      <c r="L49" s="12">
        <v>3.5099999999999999E-2</v>
      </c>
      <c r="M49" s="12">
        <v>3.3799999999999997E-2</v>
      </c>
      <c r="N49" s="12">
        <v>3.2599999999999997E-2</v>
      </c>
    </row>
    <row r="50" spans="1:14" ht="15.75" customHeight="1" x14ac:dyDescent="0.3">
      <c r="A50" s="3" t="s">
        <v>60</v>
      </c>
      <c r="B50" s="12">
        <v>3.7999999999999999E-2</v>
      </c>
      <c r="C50" s="12">
        <v>3.6999999999999998E-2</v>
      </c>
      <c r="D50" s="12">
        <v>3.3000000000000002E-2</v>
      </c>
      <c r="E50" s="12">
        <v>3.27E-2</v>
      </c>
      <c r="F50" s="12">
        <v>3.32E-2</v>
      </c>
      <c r="G50" s="12">
        <v>3.32E-2</v>
      </c>
      <c r="H50" s="12">
        <v>3.2899999999999999E-2</v>
      </c>
      <c r="I50" s="12">
        <v>3.3399999999999999E-2</v>
      </c>
      <c r="J50" s="12">
        <v>3.2000000000000001E-2</v>
      </c>
      <c r="K50" s="12">
        <v>3.1699999999999999E-2</v>
      </c>
      <c r="L50" s="12">
        <v>3.2199999999999999E-2</v>
      </c>
      <c r="M50" s="12">
        <v>3.1300000000000001E-2</v>
      </c>
      <c r="N50" s="12">
        <v>3.0599999999999999E-2</v>
      </c>
    </row>
    <row r="51" spans="1:14" ht="15.75" customHeight="1" x14ac:dyDescent="0.3">
      <c r="A51" s="3" t="s">
        <v>61</v>
      </c>
      <c r="B51" s="12">
        <v>0.74939999999999996</v>
      </c>
      <c r="C51" s="12">
        <v>0.74439999999999995</v>
      </c>
      <c r="D51" s="12">
        <v>0.75290000000000001</v>
      </c>
      <c r="E51" s="12">
        <v>0.74039999999999995</v>
      </c>
      <c r="F51" s="12">
        <v>0.71209999999999996</v>
      </c>
      <c r="G51" s="12">
        <v>0.72240000000000004</v>
      </c>
      <c r="H51" s="12">
        <v>0.65639999999999998</v>
      </c>
      <c r="I51" s="12">
        <v>0.66759999999999997</v>
      </c>
      <c r="J51" s="12">
        <v>0.66859999999999997</v>
      </c>
      <c r="K51" s="12">
        <v>0.66579999999999995</v>
      </c>
      <c r="L51" s="12">
        <v>0.65939999999999999</v>
      </c>
      <c r="M51" s="12">
        <v>0.67210000000000003</v>
      </c>
      <c r="N51" s="12">
        <v>0.65529999999999999</v>
      </c>
    </row>
    <row r="52" spans="1:14" ht="15.75" customHeight="1" thickBot="1" x14ac:dyDescent="0.35">
      <c r="A52" s="5" t="s">
        <v>62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1:14" ht="15.75" customHeight="1" x14ac:dyDescent="0.3">
      <c r="A53" s="3" t="s">
        <v>63</v>
      </c>
      <c r="B53" s="10">
        <v>1615672</v>
      </c>
      <c r="C53" s="10">
        <v>2331232.9300000002</v>
      </c>
      <c r="D53" s="10">
        <v>2446075.66</v>
      </c>
      <c r="E53" s="10">
        <v>2484861.52</v>
      </c>
      <c r="F53" s="10">
        <v>2463520.8199999998</v>
      </c>
      <c r="G53" s="10">
        <v>2495120.34</v>
      </c>
      <c r="H53" s="10">
        <v>2518248.2400000002</v>
      </c>
      <c r="I53" s="10">
        <v>2619608.61</v>
      </c>
      <c r="J53" s="10">
        <v>2628434.2000000002</v>
      </c>
      <c r="K53" s="10">
        <v>2746359.78</v>
      </c>
      <c r="L53" s="10">
        <v>2821446.5</v>
      </c>
      <c r="M53" s="10">
        <v>2937166.26</v>
      </c>
      <c r="N53" s="10">
        <v>3037303.31</v>
      </c>
    </row>
    <row r="54" spans="1:14" ht="15.75" customHeight="1" x14ac:dyDescent="0.3">
      <c r="A54" s="3" t="s">
        <v>64</v>
      </c>
      <c r="B54" s="10">
        <v>2501693</v>
      </c>
      <c r="C54" s="10">
        <v>3416310</v>
      </c>
      <c r="D54" s="10">
        <v>3492638.91</v>
      </c>
      <c r="E54" s="10">
        <v>3617623.06</v>
      </c>
      <c r="F54" s="10">
        <v>3567249.53</v>
      </c>
      <c r="G54" s="10">
        <v>3688065.37</v>
      </c>
      <c r="H54" s="10">
        <v>3758964.54</v>
      </c>
      <c r="I54" s="10">
        <v>3910198.94</v>
      </c>
      <c r="J54" s="10">
        <v>3954076.66</v>
      </c>
      <c r="K54" s="10">
        <v>4003008.37</v>
      </c>
      <c r="L54" s="10">
        <v>4088987.27</v>
      </c>
      <c r="M54" s="10">
        <v>4364886.32</v>
      </c>
      <c r="N54" s="10">
        <v>4397461.28</v>
      </c>
    </row>
    <row r="55" spans="1:14" s="37" customFormat="1" ht="15.75" customHeight="1" x14ac:dyDescent="0.25">
      <c r="A55" s="36" t="s">
        <v>65</v>
      </c>
      <c r="B55" s="26">
        <v>1913096</v>
      </c>
      <c r="C55" s="26">
        <v>2172858</v>
      </c>
      <c r="D55" s="26">
        <v>2213977</v>
      </c>
      <c r="E55" s="26">
        <v>2379786.2799999998</v>
      </c>
      <c r="F55" s="26">
        <v>2379084.5299999998</v>
      </c>
      <c r="G55" s="26">
        <v>2500088.17</v>
      </c>
      <c r="H55" s="26">
        <v>2563795.0299999998</v>
      </c>
      <c r="I55" s="26">
        <v>2714714.9</v>
      </c>
      <c r="J55" s="26">
        <v>2764089.02</v>
      </c>
      <c r="K55" s="26">
        <v>2801788.77</v>
      </c>
      <c r="L55" s="26">
        <v>2860054.6</v>
      </c>
      <c r="M55" s="26">
        <v>3105250.48</v>
      </c>
      <c r="N55" s="26">
        <v>3170830.09</v>
      </c>
    </row>
    <row r="56" spans="1:14" ht="15.75" customHeight="1" x14ac:dyDescent="0.3">
      <c r="A56" s="3" t="s">
        <v>66</v>
      </c>
      <c r="B56" s="10">
        <v>1100142</v>
      </c>
      <c r="C56" s="10">
        <v>1355153</v>
      </c>
      <c r="D56" s="10">
        <v>1378300</v>
      </c>
      <c r="E56" s="10">
        <v>1471000</v>
      </c>
      <c r="F56" s="10">
        <v>1515400</v>
      </c>
      <c r="G56" s="10">
        <v>1616600</v>
      </c>
      <c r="H56" s="10">
        <v>1691100</v>
      </c>
      <c r="I56" s="10">
        <v>1770200</v>
      </c>
      <c r="J56" s="11">
        <v>937026.17778000003</v>
      </c>
      <c r="K56" s="10">
        <v>1852700</v>
      </c>
      <c r="L56" s="10">
        <v>1900000</v>
      </c>
      <c r="M56" s="10">
        <v>2045000</v>
      </c>
      <c r="N56" s="10">
        <v>2145000</v>
      </c>
    </row>
    <row r="57" spans="1:14" ht="15.75" customHeight="1" x14ac:dyDescent="0.3">
      <c r="A57" s="3" t="s">
        <v>141</v>
      </c>
      <c r="B57" s="10">
        <v>812954</v>
      </c>
      <c r="C57" s="10">
        <v>817705</v>
      </c>
      <c r="D57" s="10">
        <v>835700</v>
      </c>
      <c r="E57" s="10">
        <v>908700</v>
      </c>
      <c r="F57" s="10">
        <v>863700</v>
      </c>
      <c r="G57" s="10">
        <v>883500</v>
      </c>
      <c r="H57" s="10">
        <v>872700</v>
      </c>
      <c r="I57" s="10">
        <v>944600</v>
      </c>
      <c r="J57" s="4">
        <v>860400</v>
      </c>
      <c r="K57" s="10">
        <v>949100</v>
      </c>
      <c r="L57" s="10">
        <v>961000</v>
      </c>
      <c r="M57" s="10">
        <v>1060300</v>
      </c>
      <c r="N57" s="10">
        <v>1025000</v>
      </c>
    </row>
    <row r="58" spans="1:14" ht="15.75" customHeight="1" thickBot="1" x14ac:dyDescent="0.3">
      <c r="A58" s="5" t="s">
        <v>68</v>
      </c>
      <c r="B58" s="38">
        <v>0.42499999999999999</v>
      </c>
      <c r="C58" s="38">
        <v>0.376</v>
      </c>
      <c r="D58" s="38">
        <v>0.377</v>
      </c>
      <c r="E58" s="38">
        <v>0.38200000000000001</v>
      </c>
      <c r="F58" s="38">
        <v>0.36299999999999999</v>
      </c>
      <c r="G58" s="38">
        <v>0.35339999999999999</v>
      </c>
      <c r="H58" s="38">
        <v>0.34039999999999998</v>
      </c>
      <c r="I58" s="38">
        <v>0.34799999999999998</v>
      </c>
      <c r="J58" s="38">
        <v>3.3899999999999998E-3</v>
      </c>
      <c r="K58" s="38">
        <v>0.33900000000000002</v>
      </c>
      <c r="L58" s="38">
        <v>0.33600000000000002</v>
      </c>
      <c r="M58" s="38">
        <v>0.34100000000000003</v>
      </c>
      <c r="N58" s="38">
        <v>0.32300000000000001</v>
      </c>
    </row>
  </sheetData>
  <mergeCells count="4">
    <mergeCell ref="A1:N1"/>
    <mergeCell ref="J2:M2"/>
    <mergeCell ref="F2:I2"/>
    <mergeCell ref="B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Views>
    <sheetView showGridLines="0" zoomScaleNormal="100" workbookViewId="0">
      <selection activeCell="C10" sqref="C10"/>
    </sheetView>
  </sheetViews>
  <sheetFormatPr defaultColWidth="8.7109375" defaultRowHeight="15" x14ac:dyDescent="0.25"/>
  <cols>
    <col min="1" max="1" width="54.85546875" customWidth="1"/>
    <col min="2" max="5" width="14.28515625" customWidth="1"/>
  </cols>
  <sheetData>
    <row r="1" spans="1:5" ht="17.25" customHeight="1" x14ac:dyDescent="0.25">
      <c r="A1" s="2" t="s">
        <v>0</v>
      </c>
      <c r="B1" s="2"/>
      <c r="C1" s="2"/>
      <c r="D1" s="2"/>
      <c r="E1" s="2"/>
    </row>
    <row r="2" spans="1:5" ht="15.75" customHeight="1" x14ac:dyDescent="0.3">
      <c r="A2" s="1" t="s">
        <v>69</v>
      </c>
      <c r="B2" s="1"/>
      <c r="C2" s="1"/>
      <c r="D2" s="1"/>
      <c r="E2" s="1"/>
    </row>
    <row r="3" spans="1:5" ht="16.5" customHeight="1" x14ac:dyDescent="0.25">
      <c r="A3" s="5" t="s">
        <v>1</v>
      </c>
      <c r="B3" s="6" t="s">
        <v>70</v>
      </c>
      <c r="C3" s="6" t="s">
        <v>71</v>
      </c>
      <c r="D3" s="6" t="s">
        <v>72</v>
      </c>
      <c r="E3" s="6" t="s">
        <v>73</v>
      </c>
    </row>
    <row r="4" spans="1:5" ht="15.75" customHeight="1" x14ac:dyDescent="0.3">
      <c r="A4" s="3"/>
      <c r="B4" s="4"/>
      <c r="C4" s="4"/>
      <c r="D4" s="4"/>
      <c r="E4" s="4"/>
    </row>
    <row r="5" spans="1:5" ht="15.75" customHeight="1" x14ac:dyDescent="0.25">
      <c r="A5" s="5" t="s">
        <v>15</v>
      </c>
      <c r="B5" s="7">
        <v>161585.54999999999</v>
      </c>
      <c r="C5" s="7">
        <v>258340.56</v>
      </c>
      <c r="D5" s="7">
        <v>300517.03999999998</v>
      </c>
      <c r="E5" s="7">
        <v>307522.08</v>
      </c>
    </row>
    <row r="6" spans="1:5" ht="15.75" customHeight="1" x14ac:dyDescent="0.3">
      <c r="A6" s="3" t="s">
        <v>21</v>
      </c>
      <c r="B6" s="4"/>
      <c r="C6" s="11">
        <v>59.88</v>
      </c>
      <c r="D6" s="11">
        <v>16.329999999999998</v>
      </c>
      <c r="E6" s="11">
        <v>2.33</v>
      </c>
    </row>
    <row r="7" spans="1:5" ht="15.75" customHeight="1" x14ac:dyDescent="0.3">
      <c r="A7" s="9" t="s">
        <v>16</v>
      </c>
      <c r="B7" s="10">
        <v>127095.86</v>
      </c>
      <c r="C7" s="10">
        <v>207220.01</v>
      </c>
      <c r="D7" s="10">
        <v>238444.43</v>
      </c>
      <c r="E7" s="10">
        <v>239762.46</v>
      </c>
    </row>
    <row r="8" spans="1:5" ht="15.75" customHeight="1" x14ac:dyDescent="0.3">
      <c r="A8" s="9" t="s">
        <v>17</v>
      </c>
      <c r="B8" s="10">
        <v>31311.16</v>
      </c>
      <c r="C8" s="10">
        <v>44364.28</v>
      </c>
      <c r="D8" s="10">
        <v>53319.69</v>
      </c>
      <c r="E8" s="10">
        <v>58945.38</v>
      </c>
    </row>
    <row r="9" spans="1:5" ht="15.75" customHeight="1" x14ac:dyDescent="0.3">
      <c r="A9" s="9" t="s">
        <v>18</v>
      </c>
      <c r="B9" s="11">
        <v>996.79</v>
      </c>
      <c r="C9" s="10">
        <v>2040.47</v>
      </c>
      <c r="D9" s="10">
        <v>2506.31</v>
      </c>
      <c r="E9" s="10">
        <v>2674.7</v>
      </c>
    </row>
    <row r="10" spans="1:5" ht="15.75" customHeight="1" x14ac:dyDescent="0.3">
      <c r="A10" s="9" t="s">
        <v>19</v>
      </c>
      <c r="B10" s="10">
        <v>2181.7399999999998</v>
      </c>
      <c r="C10" s="10">
        <v>4715.8</v>
      </c>
      <c r="D10" s="10">
        <v>6246.61</v>
      </c>
      <c r="E10" s="10">
        <v>6139.54</v>
      </c>
    </row>
    <row r="11" spans="1:5" ht="15.75" customHeight="1" x14ac:dyDescent="0.3">
      <c r="A11" s="3" t="s">
        <v>20</v>
      </c>
      <c r="B11" s="4"/>
      <c r="C11" s="4"/>
      <c r="D11" s="4"/>
      <c r="E11" s="4"/>
    </row>
    <row r="12" spans="1:5" ht="15.75" customHeight="1" x14ac:dyDescent="0.3">
      <c r="A12" s="3" t="s">
        <v>21</v>
      </c>
      <c r="B12" s="4"/>
      <c r="C12" s="4"/>
      <c r="D12" s="4"/>
      <c r="E12" s="4"/>
    </row>
    <row r="13" spans="1:5" ht="15.75" customHeight="1" x14ac:dyDescent="0.3">
      <c r="A13" s="3" t="s">
        <v>22</v>
      </c>
      <c r="B13" s="10">
        <v>74743.31</v>
      </c>
      <c r="C13" s="10">
        <v>149808.1</v>
      </c>
      <c r="D13" s="10">
        <v>177846.95</v>
      </c>
      <c r="E13" s="10">
        <v>178836.04</v>
      </c>
    </row>
    <row r="14" spans="1:5" ht="15.75" customHeight="1" x14ac:dyDescent="0.25">
      <c r="A14" s="5" t="s">
        <v>23</v>
      </c>
      <c r="B14" s="7">
        <v>86842.240000000005</v>
      </c>
      <c r="C14" s="7">
        <v>108532.46</v>
      </c>
      <c r="D14" s="7">
        <v>122670.09</v>
      </c>
      <c r="E14" s="7">
        <v>128686.04</v>
      </c>
    </row>
    <row r="15" spans="1:5" ht="15.75" customHeight="1" x14ac:dyDescent="0.3">
      <c r="A15" s="3" t="s">
        <v>25</v>
      </c>
      <c r="B15" s="4"/>
      <c r="C15" s="11">
        <v>24.98</v>
      </c>
      <c r="D15" s="11">
        <v>13.03</v>
      </c>
      <c r="E15" s="11">
        <v>4.9000000000000004</v>
      </c>
    </row>
    <row r="16" spans="1:5" ht="15.75" customHeight="1" x14ac:dyDescent="0.3">
      <c r="A16" s="3" t="s">
        <v>24</v>
      </c>
      <c r="B16" s="4"/>
      <c r="C16" s="4"/>
      <c r="D16" s="4"/>
      <c r="E16" s="4"/>
    </row>
    <row r="17" spans="1:5" ht="15.75" customHeight="1" x14ac:dyDescent="0.3">
      <c r="A17" s="3" t="s">
        <v>25</v>
      </c>
      <c r="B17" s="4"/>
      <c r="C17" s="4"/>
      <c r="D17" s="4"/>
      <c r="E17" s="4"/>
    </row>
    <row r="18" spans="1:5" ht="15.75" customHeight="1" x14ac:dyDescent="0.3">
      <c r="A18" s="3" t="s">
        <v>26</v>
      </c>
      <c r="B18" s="10">
        <v>31214.83</v>
      </c>
      <c r="C18" s="10">
        <v>49240.99</v>
      </c>
      <c r="D18" s="10">
        <v>45632.28</v>
      </c>
      <c r="E18" s="10">
        <v>62532.57</v>
      </c>
    </row>
    <row r="19" spans="1:5" ht="15.75" customHeight="1" x14ac:dyDescent="0.25">
      <c r="A19" s="5" t="s">
        <v>27</v>
      </c>
      <c r="B19" s="7">
        <v>192800.38</v>
      </c>
      <c r="C19" s="7">
        <v>307581.55</v>
      </c>
      <c r="D19" s="7">
        <v>346149.32</v>
      </c>
      <c r="E19" s="7">
        <v>370054.65</v>
      </c>
    </row>
    <row r="20" spans="1:5" ht="15.75" customHeight="1" x14ac:dyDescent="0.3">
      <c r="A20" s="9" t="s">
        <v>28</v>
      </c>
      <c r="B20" s="10">
        <v>15512.36</v>
      </c>
      <c r="C20" s="10">
        <v>22240.21</v>
      </c>
      <c r="D20" s="10">
        <v>23900.53</v>
      </c>
      <c r="E20" s="10">
        <v>26050.15</v>
      </c>
    </row>
    <row r="21" spans="1:5" ht="15.75" customHeight="1" x14ac:dyDescent="0.3">
      <c r="A21" s="9" t="s">
        <v>29</v>
      </c>
      <c r="B21" s="10">
        <v>32139.73</v>
      </c>
      <c r="C21" s="10">
        <v>41145.800000000003</v>
      </c>
      <c r="D21" s="10">
        <v>44274.36</v>
      </c>
      <c r="E21" s="10">
        <v>46610.18</v>
      </c>
    </row>
    <row r="22" spans="1:5" ht="15.75" customHeight="1" x14ac:dyDescent="0.25">
      <c r="A22" s="5" t="s">
        <v>30</v>
      </c>
      <c r="B22" s="7">
        <v>47652.09</v>
      </c>
      <c r="C22" s="7">
        <v>63386.01</v>
      </c>
      <c r="D22" s="7">
        <v>68174.89</v>
      </c>
      <c r="E22" s="7">
        <v>72660.33</v>
      </c>
    </row>
    <row r="23" spans="1:5" ht="15.75" customHeight="1" x14ac:dyDescent="0.25">
      <c r="A23" s="5" t="s">
        <v>31</v>
      </c>
      <c r="B23" s="7">
        <v>122395.4</v>
      </c>
      <c r="C23" s="7">
        <v>213194.11</v>
      </c>
      <c r="D23" s="7">
        <v>246021.84</v>
      </c>
      <c r="E23" s="7">
        <v>251496.37</v>
      </c>
    </row>
    <row r="24" spans="1:5" ht="15.75" customHeight="1" x14ac:dyDescent="0.25">
      <c r="A24" s="5" t="s">
        <v>32</v>
      </c>
      <c r="B24" s="7">
        <v>70404.98</v>
      </c>
      <c r="C24" s="7">
        <v>94387.44</v>
      </c>
      <c r="D24" s="7">
        <v>100127.48</v>
      </c>
      <c r="E24" s="7">
        <v>118558.28</v>
      </c>
    </row>
    <row r="25" spans="1:5" ht="15.75" customHeight="1" x14ac:dyDescent="0.3">
      <c r="A25" s="3" t="s">
        <v>34</v>
      </c>
      <c r="B25" s="4"/>
      <c r="C25" s="11">
        <v>34.06</v>
      </c>
      <c r="D25" s="11">
        <v>6.08</v>
      </c>
      <c r="E25" s="11">
        <v>18.41</v>
      </c>
    </row>
    <row r="26" spans="1:5" ht="15.75" customHeight="1" x14ac:dyDescent="0.3">
      <c r="A26" s="3" t="s">
        <v>33</v>
      </c>
      <c r="B26" s="4"/>
      <c r="C26" s="4"/>
      <c r="D26" s="4"/>
      <c r="E26" s="4"/>
    </row>
    <row r="27" spans="1:5" ht="15.75" customHeight="1" x14ac:dyDescent="0.3">
      <c r="A27" s="3" t="s">
        <v>34</v>
      </c>
      <c r="B27" s="4"/>
      <c r="C27" s="4"/>
      <c r="D27" s="4"/>
      <c r="E27" s="4"/>
    </row>
    <row r="28" spans="1:5" ht="15.75" customHeight="1" x14ac:dyDescent="0.3">
      <c r="A28" s="3" t="s">
        <v>35</v>
      </c>
      <c r="B28" s="10">
        <v>11919.67</v>
      </c>
      <c r="C28" s="10">
        <v>23492.14</v>
      </c>
      <c r="D28" s="10">
        <v>11649.42</v>
      </c>
      <c r="E28" s="10">
        <v>23389.59</v>
      </c>
    </row>
    <row r="29" spans="1:5" ht="15.75" customHeight="1" x14ac:dyDescent="0.3">
      <c r="A29" s="3" t="s">
        <v>36</v>
      </c>
      <c r="B29" s="11">
        <v>0</v>
      </c>
      <c r="C29" s="11">
        <v>0</v>
      </c>
      <c r="D29" s="11">
        <v>0</v>
      </c>
      <c r="E29" s="11">
        <v>0</v>
      </c>
    </row>
    <row r="30" spans="1:5" ht="15.75" customHeight="1" x14ac:dyDescent="0.25">
      <c r="A30" s="5" t="s">
        <v>37</v>
      </c>
      <c r="B30" s="7">
        <v>58485.31</v>
      </c>
      <c r="C30" s="7">
        <v>70895.3</v>
      </c>
      <c r="D30" s="7">
        <v>88478.06</v>
      </c>
      <c r="E30" s="7">
        <v>95168.69</v>
      </c>
    </row>
    <row r="31" spans="1:5" ht="15.75" customHeight="1" x14ac:dyDescent="0.3">
      <c r="A31" s="3" t="s">
        <v>38</v>
      </c>
      <c r="B31" s="10">
        <v>14376.6</v>
      </c>
      <c r="C31" s="10">
        <v>10083.030000000001</v>
      </c>
      <c r="D31" s="10">
        <v>21130.7</v>
      </c>
      <c r="E31" s="10">
        <v>20497.400000000001</v>
      </c>
    </row>
    <row r="32" spans="1:5" ht="15.75" customHeight="1" x14ac:dyDescent="0.25">
      <c r="A32" s="5" t="s">
        <v>39</v>
      </c>
      <c r="B32" s="7">
        <v>44108.71</v>
      </c>
      <c r="C32" s="7">
        <v>60812.27</v>
      </c>
      <c r="D32" s="7">
        <v>67347.360000000001</v>
      </c>
      <c r="E32" s="7">
        <v>74671.289999999994</v>
      </c>
    </row>
    <row r="33" spans="1:5" ht="15.75" customHeight="1" x14ac:dyDescent="0.3">
      <c r="A33" s="3" t="s">
        <v>41</v>
      </c>
      <c r="B33" s="4"/>
      <c r="C33" s="11">
        <v>37.869999999999997</v>
      </c>
      <c r="D33" s="11">
        <v>10.75</v>
      </c>
      <c r="E33" s="11">
        <v>10.87</v>
      </c>
    </row>
    <row r="34" spans="1:5" ht="15.75" customHeight="1" x14ac:dyDescent="0.3">
      <c r="A34" s="3" t="s">
        <v>40</v>
      </c>
      <c r="B34" s="4"/>
      <c r="C34" s="4"/>
      <c r="D34" s="4"/>
      <c r="E34" s="4"/>
    </row>
    <row r="35" spans="1:5" ht="15.75" customHeight="1" x14ac:dyDescent="0.3">
      <c r="A35" s="3" t="s">
        <v>41</v>
      </c>
      <c r="B35" s="4"/>
      <c r="C35" s="4"/>
      <c r="D35" s="4"/>
      <c r="E35" s="4"/>
    </row>
    <row r="36" spans="1:5" ht="15.75" customHeight="1" x14ac:dyDescent="0.3">
      <c r="A36" s="3"/>
      <c r="B36" s="4"/>
      <c r="C36" s="4"/>
      <c r="D36" s="4"/>
      <c r="E36" s="4"/>
    </row>
    <row r="37" spans="1:5" ht="15.75" customHeight="1" x14ac:dyDescent="0.3">
      <c r="A37" s="3" t="s">
        <v>42</v>
      </c>
      <c r="B37" s="11">
        <v>19.260000000000002</v>
      </c>
      <c r="C37" s="11">
        <v>18.8</v>
      </c>
      <c r="D37" s="11">
        <v>19.55</v>
      </c>
      <c r="E37" s="11">
        <v>19.71</v>
      </c>
    </row>
    <row r="38" spans="1:5" ht="15.75" customHeight="1" x14ac:dyDescent="0.3">
      <c r="A38" s="3" t="s">
        <v>43</v>
      </c>
      <c r="B38" s="11">
        <v>557.97</v>
      </c>
      <c r="C38" s="11">
        <v>759.69</v>
      </c>
      <c r="D38" s="11">
        <v>765.22</v>
      </c>
      <c r="E38" s="10">
        <v>1539.34</v>
      </c>
    </row>
    <row r="39" spans="1:5" ht="15.75" customHeight="1" x14ac:dyDescent="0.3">
      <c r="A39" s="3" t="s">
        <v>44</v>
      </c>
      <c r="B39" s="11">
        <v>79.25</v>
      </c>
      <c r="C39" s="11">
        <v>85.83</v>
      </c>
      <c r="D39" s="11">
        <v>88.010454509814195</v>
      </c>
      <c r="E39" s="11">
        <v>48.62</v>
      </c>
    </row>
    <row r="40" spans="1:5" ht="15.75" customHeight="1" x14ac:dyDescent="0.3">
      <c r="A40" s="3" t="s">
        <v>45</v>
      </c>
      <c r="B40" s="10">
        <v>279641.05</v>
      </c>
      <c r="C40" s="10">
        <v>436833.39</v>
      </c>
      <c r="D40" s="10">
        <v>496854.21</v>
      </c>
      <c r="E40" s="10">
        <v>536816.44999999995</v>
      </c>
    </row>
    <row r="41" spans="1:5" ht="15.75" customHeight="1" x14ac:dyDescent="0.3">
      <c r="A41" s="3" t="s">
        <v>46</v>
      </c>
      <c r="B41" s="11">
        <v>489.39</v>
      </c>
      <c r="C41" s="11">
        <v>562.91</v>
      </c>
      <c r="D41" s="11">
        <v>638.9</v>
      </c>
      <c r="E41" s="11">
        <v>354.91</v>
      </c>
    </row>
    <row r="42" spans="1:5" ht="15.75" customHeight="1" x14ac:dyDescent="0.3">
      <c r="A42" s="3" t="s">
        <v>47</v>
      </c>
      <c r="B42" s="11">
        <v>489.39</v>
      </c>
      <c r="C42" s="11">
        <v>562.91</v>
      </c>
      <c r="D42" s="11">
        <v>638.9</v>
      </c>
      <c r="E42" s="11">
        <v>354.91</v>
      </c>
    </row>
    <row r="43" spans="1:5" ht="15.75" customHeight="1" x14ac:dyDescent="0.3">
      <c r="A43" s="3" t="s">
        <v>48</v>
      </c>
      <c r="B43" s="4"/>
      <c r="C43" s="4"/>
      <c r="D43" s="4"/>
      <c r="E43" s="4"/>
    </row>
    <row r="44" spans="1:5" ht="15.75" customHeight="1" x14ac:dyDescent="0.3">
      <c r="A44" s="3" t="s">
        <v>49</v>
      </c>
      <c r="B44" s="4"/>
      <c r="C44" s="4"/>
      <c r="D44" s="4"/>
      <c r="E44" s="4"/>
    </row>
    <row r="45" spans="1:5" ht="15.75" customHeight="1" x14ac:dyDescent="0.3">
      <c r="A45" s="3" t="s">
        <v>50</v>
      </c>
      <c r="B45" s="11">
        <v>24.72</v>
      </c>
      <c r="C45" s="11">
        <v>20.61</v>
      </c>
      <c r="D45" s="11">
        <v>19.7</v>
      </c>
      <c r="E45" s="11">
        <v>19.64</v>
      </c>
    </row>
    <row r="46" spans="1:5" ht="15.75" customHeight="1" x14ac:dyDescent="0.3">
      <c r="A46" s="3" t="s">
        <v>51</v>
      </c>
      <c r="B46" s="11">
        <v>24.25</v>
      </c>
      <c r="C46" s="11">
        <v>17.48</v>
      </c>
      <c r="D46" s="11">
        <v>18.13</v>
      </c>
      <c r="E46" s="11">
        <v>18.22</v>
      </c>
    </row>
    <row r="47" spans="1:5" ht="15.75" customHeight="1" x14ac:dyDescent="0.3">
      <c r="A47" s="3" t="s">
        <v>52</v>
      </c>
      <c r="B47" s="11">
        <v>16.190000000000001</v>
      </c>
      <c r="C47" s="11">
        <v>16.010000000000002</v>
      </c>
      <c r="D47" s="11">
        <v>13.18</v>
      </c>
      <c r="E47" s="11">
        <v>16.899999999999999</v>
      </c>
    </row>
    <row r="48" spans="1:5" ht="15.75" customHeight="1" x14ac:dyDescent="0.3">
      <c r="A48" s="3" t="s">
        <v>53</v>
      </c>
      <c r="B48" s="10">
        <v>18019.03</v>
      </c>
      <c r="C48" s="10">
        <v>31173.32</v>
      </c>
      <c r="D48" s="10">
        <v>35222.639999999999</v>
      </c>
      <c r="E48" s="10">
        <v>34061.19</v>
      </c>
    </row>
    <row r="49" spans="1:5" ht="15.75" customHeight="1" x14ac:dyDescent="0.3">
      <c r="A49" s="3" t="s">
        <v>54</v>
      </c>
      <c r="B49" s="10">
        <v>4368.43</v>
      </c>
      <c r="C49" s="10">
        <v>8091.74</v>
      </c>
      <c r="D49" s="10">
        <v>11320.43</v>
      </c>
      <c r="E49" s="10">
        <v>11169.54</v>
      </c>
    </row>
    <row r="50" spans="1:5" ht="15.75" customHeight="1" x14ac:dyDescent="0.3">
      <c r="A50" s="3" t="s">
        <v>55</v>
      </c>
      <c r="B50" s="11">
        <v>1.1200000000000001</v>
      </c>
      <c r="C50" s="11">
        <v>1.24</v>
      </c>
      <c r="D50" s="11">
        <v>1.33</v>
      </c>
      <c r="E50" s="11">
        <v>1.1499999999999999</v>
      </c>
    </row>
    <row r="51" spans="1:5" ht="15.75" customHeight="1" x14ac:dyDescent="0.3">
      <c r="A51" s="3" t="s">
        <v>56</v>
      </c>
      <c r="B51" s="11">
        <v>0.27</v>
      </c>
      <c r="C51" s="11">
        <v>0.33</v>
      </c>
      <c r="D51" s="11">
        <v>0.43</v>
      </c>
      <c r="E51" s="11">
        <v>0.38</v>
      </c>
    </row>
    <row r="52" spans="1:5" ht="15.75" customHeight="1" x14ac:dyDescent="0.3">
      <c r="A52" s="3" t="s">
        <v>57</v>
      </c>
      <c r="B52" s="11">
        <v>2.0699999999999998</v>
      </c>
      <c r="C52" s="11">
        <v>1.98</v>
      </c>
      <c r="D52" s="11">
        <v>1.91</v>
      </c>
      <c r="E52" s="11">
        <v>1.94</v>
      </c>
    </row>
    <row r="53" spans="1:5" ht="15.75" customHeight="1" x14ac:dyDescent="0.3">
      <c r="A53" s="3" t="s">
        <v>58</v>
      </c>
      <c r="B53" s="11">
        <v>17.079999999999998</v>
      </c>
      <c r="C53" s="11">
        <v>17.36</v>
      </c>
      <c r="D53" s="11">
        <v>14.7</v>
      </c>
      <c r="E53" s="11">
        <v>14.43</v>
      </c>
    </row>
    <row r="54" spans="1:5" ht="15.75" customHeight="1" x14ac:dyDescent="0.3">
      <c r="A54" s="3" t="s">
        <v>59</v>
      </c>
      <c r="B54" s="4"/>
      <c r="C54" s="4"/>
      <c r="D54" s="4"/>
      <c r="E54" s="4"/>
    </row>
    <row r="55" spans="1:5" ht="15.75" customHeight="1" x14ac:dyDescent="0.3">
      <c r="A55" s="3" t="s">
        <v>60</v>
      </c>
      <c r="B55" s="11">
        <v>3.52</v>
      </c>
      <c r="C55" s="11">
        <v>3.55</v>
      </c>
      <c r="D55" s="11">
        <v>3.26</v>
      </c>
      <c r="E55" s="11">
        <v>3.11</v>
      </c>
    </row>
    <row r="56" spans="1:5" ht="15.75" customHeight="1" x14ac:dyDescent="0.3">
      <c r="A56" s="3" t="s">
        <v>61</v>
      </c>
      <c r="B56" s="11">
        <v>75.760000000000005</v>
      </c>
      <c r="C56" s="11">
        <v>74.040000000000006</v>
      </c>
      <c r="D56" s="11">
        <v>67.86</v>
      </c>
      <c r="E56" s="11">
        <v>67.209999999999994</v>
      </c>
    </row>
    <row r="57" spans="1:5" ht="15.75" customHeight="1" x14ac:dyDescent="0.3">
      <c r="A57" s="5" t="s">
        <v>62</v>
      </c>
      <c r="B57" s="13"/>
      <c r="C57" s="13"/>
      <c r="D57" s="13"/>
      <c r="E57" s="13"/>
    </row>
    <row r="58" spans="1:5" ht="15.75" customHeight="1" x14ac:dyDescent="0.3">
      <c r="A58" s="3" t="s">
        <v>63</v>
      </c>
      <c r="B58" s="10">
        <v>1600585.9</v>
      </c>
      <c r="C58" s="10">
        <v>2484861.52</v>
      </c>
      <c r="D58" s="10">
        <v>2619608.61</v>
      </c>
      <c r="E58" s="10">
        <v>2937166.26</v>
      </c>
    </row>
    <row r="59" spans="1:5" ht="15.75" customHeight="1" x14ac:dyDescent="0.3">
      <c r="A59" s="3" t="s">
        <v>64</v>
      </c>
      <c r="B59" s="10">
        <v>2466081.48</v>
      </c>
      <c r="C59" s="10">
        <v>3617623.06</v>
      </c>
      <c r="D59" s="10">
        <v>3910198.94</v>
      </c>
      <c r="E59" s="10">
        <v>4364886.32</v>
      </c>
    </row>
    <row r="60" spans="1:5" ht="15.75" customHeight="1" x14ac:dyDescent="0.3">
      <c r="A60" s="3" t="s">
        <v>65</v>
      </c>
      <c r="B60" s="10">
        <v>1883394.65</v>
      </c>
      <c r="C60" s="10">
        <v>2379786.2799999998</v>
      </c>
      <c r="D60" s="10">
        <v>2714714.9</v>
      </c>
      <c r="E60" s="10">
        <v>3105250.48</v>
      </c>
    </row>
    <row r="61" spans="1:5" ht="15.75" customHeight="1" x14ac:dyDescent="0.3">
      <c r="A61" s="3" t="s">
        <v>66</v>
      </c>
      <c r="B61" s="4"/>
      <c r="C61" s="10">
        <v>1471000</v>
      </c>
      <c r="D61" s="10">
        <v>1770200</v>
      </c>
      <c r="E61" s="10">
        <v>2045000</v>
      </c>
    </row>
    <row r="62" spans="1:5" ht="15.75" customHeight="1" x14ac:dyDescent="0.3">
      <c r="A62" s="3" t="s">
        <v>67</v>
      </c>
      <c r="B62" s="4"/>
      <c r="C62" s="10">
        <v>908700</v>
      </c>
      <c r="D62" s="10">
        <v>944600</v>
      </c>
      <c r="E62" s="10">
        <v>1060300</v>
      </c>
    </row>
    <row r="63" spans="1:5" ht="15.75" customHeight="1" x14ac:dyDescent="0.25">
      <c r="A63" s="5" t="s">
        <v>68</v>
      </c>
      <c r="B63" s="8"/>
      <c r="C63" s="14">
        <v>38.200000000000003</v>
      </c>
      <c r="D63" s="14">
        <v>34.799999999999997</v>
      </c>
      <c r="E63" s="14">
        <v>34.1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showGridLines="0" topLeftCell="A25" zoomScaleNormal="100" workbookViewId="0"/>
  </sheetViews>
  <sheetFormatPr defaultColWidth="8.7109375" defaultRowHeight="15" x14ac:dyDescent="0.25"/>
  <cols>
    <col min="1" max="1" width="100" customWidth="1"/>
  </cols>
  <sheetData>
    <row r="1" spans="1:1" x14ac:dyDescent="0.25">
      <c r="A1" s="15" t="s">
        <v>74</v>
      </c>
    </row>
    <row r="2" spans="1:1" ht="16.5" x14ac:dyDescent="0.3">
      <c r="A2" s="16"/>
    </row>
    <row r="3" spans="1:1" x14ac:dyDescent="0.25">
      <c r="A3" s="15" t="s">
        <v>75</v>
      </c>
    </row>
    <row r="4" spans="1:1" ht="16.5" x14ac:dyDescent="0.3">
      <c r="A4" s="16" t="s">
        <v>76</v>
      </c>
    </row>
    <row r="5" spans="1:1" ht="16.5" x14ac:dyDescent="0.3">
      <c r="A5" s="16" t="s">
        <v>77</v>
      </c>
    </row>
    <row r="6" spans="1:1" ht="16.5" x14ac:dyDescent="0.3">
      <c r="A6" s="16" t="s">
        <v>78</v>
      </c>
    </row>
    <row r="7" spans="1:1" ht="16.5" x14ac:dyDescent="0.3">
      <c r="A7" s="16" t="s">
        <v>79</v>
      </c>
    </row>
    <row r="8" spans="1:1" ht="16.5" x14ac:dyDescent="0.3">
      <c r="A8" s="16" t="s">
        <v>80</v>
      </c>
    </row>
    <row r="9" spans="1:1" ht="16.5" x14ac:dyDescent="0.3">
      <c r="A9" s="16"/>
    </row>
    <row r="10" spans="1:1" x14ac:dyDescent="0.25">
      <c r="A10" s="15" t="s">
        <v>81</v>
      </c>
    </row>
    <row r="11" spans="1:1" ht="16.5" x14ac:dyDescent="0.3">
      <c r="A11" s="16" t="s">
        <v>82</v>
      </c>
    </row>
    <row r="12" spans="1:1" ht="16.5" x14ac:dyDescent="0.3">
      <c r="A12" s="16" t="s">
        <v>83</v>
      </c>
    </row>
    <row r="13" spans="1:1" ht="16.5" x14ac:dyDescent="0.3">
      <c r="A13" s="16"/>
    </row>
    <row r="14" spans="1:1" x14ac:dyDescent="0.25">
      <c r="A14" s="15" t="s">
        <v>84</v>
      </c>
    </row>
    <row r="15" spans="1:1" ht="16.5" x14ac:dyDescent="0.3">
      <c r="A15" s="16" t="s">
        <v>85</v>
      </c>
    </row>
    <row r="16" spans="1:1" ht="16.5" x14ac:dyDescent="0.3">
      <c r="A16" s="16" t="s">
        <v>86</v>
      </c>
    </row>
    <row r="17" spans="1:1" ht="16.5" x14ac:dyDescent="0.3">
      <c r="A17" s="16" t="s">
        <v>87</v>
      </c>
    </row>
    <row r="18" spans="1:1" ht="16.5" x14ac:dyDescent="0.3">
      <c r="A18" s="16" t="s">
        <v>88</v>
      </c>
    </row>
    <row r="19" spans="1:1" ht="16.5" x14ac:dyDescent="0.3">
      <c r="A19" s="16" t="s">
        <v>89</v>
      </c>
    </row>
    <row r="20" spans="1:1" ht="16.5" x14ac:dyDescent="0.3">
      <c r="A20" s="16" t="s">
        <v>90</v>
      </c>
    </row>
    <row r="21" spans="1:1" ht="16.5" x14ac:dyDescent="0.3">
      <c r="A21" s="16" t="s">
        <v>91</v>
      </c>
    </row>
    <row r="22" spans="1:1" ht="16.5" x14ac:dyDescent="0.3">
      <c r="A22" s="16" t="s">
        <v>92</v>
      </c>
    </row>
    <row r="23" spans="1:1" ht="16.5" x14ac:dyDescent="0.3">
      <c r="A23" s="16" t="s">
        <v>93</v>
      </c>
    </row>
    <row r="24" spans="1:1" ht="16.5" x14ac:dyDescent="0.3">
      <c r="A24" s="16" t="s">
        <v>94</v>
      </c>
    </row>
    <row r="25" spans="1:1" ht="16.5" x14ac:dyDescent="0.3">
      <c r="A25" s="16" t="s">
        <v>95</v>
      </c>
    </row>
    <row r="26" spans="1:1" ht="16.5" x14ac:dyDescent="0.3">
      <c r="A26" s="16" t="s">
        <v>96</v>
      </c>
    </row>
    <row r="27" spans="1:1" ht="16.5" x14ac:dyDescent="0.3">
      <c r="A27" s="16" t="s">
        <v>97</v>
      </c>
    </row>
    <row r="28" spans="1:1" ht="16.5" x14ac:dyDescent="0.3">
      <c r="A28" s="16" t="s">
        <v>98</v>
      </c>
    </row>
    <row r="29" spans="1:1" ht="16.5" x14ac:dyDescent="0.3">
      <c r="A29" s="16" t="s">
        <v>99</v>
      </c>
    </row>
    <row r="30" spans="1:1" ht="16.5" x14ac:dyDescent="0.3">
      <c r="A30" s="16" t="s">
        <v>100</v>
      </c>
    </row>
    <row r="31" spans="1:1" ht="16.5" x14ac:dyDescent="0.3">
      <c r="A31" s="16" t="s">
        <v>101</v>
      </c>
    </row>
    <row r="32" spans="1:1" ht="16.5" x14ac:dyDescent="0.3">
      <c r="A32" s="16" t="s">
        <v>102</v>
      </c>
    </row>
    <row r="33" spans="1:1" ht="16.5" x14ac:dyDescent="0.3">
      <c r="A33" s="16" t="s">
        <v>103</v>
      </c>
    </row>
    <row r="34" spans="1:1" ht="16.5" x14ac:dyDescent="0.3">
      <c r="A34" s="16" t="s">
        <v>104</v>
      </c>
    </row>
    <row r="35" spans="1:1" ht="16.5" x14ac:dyDescent="0.3">
      <c r="A35" s="16" t="s">
        <v>105</v>
      </c>
    </row>
    <row r="36" spans="1:1" ht="16.5" x14ac:dyDescent="0.3">
      <c r="A36" s="16" t="s">
        <v>106</v>
      </c>
    </row>
    <row r="37" spans="1:1" ht="16.5" x14ac:dyDescent="0.3">
      <c r="A37" s="16" t="s">
        <v>107</v>
      </c>
    </row>
    <row r="38" spans="1:1" ht="16.5" x14ac:dyDescent="0.3">
      <c r="A38" s="16" t="s">
        <v>108</v>
      </c>
    </row>
    <row r="39" spans="1:1" ht="16.5" x14ac:dyDescent="0.3">
      <c r="A39" s="16" t="s">
        <v>109</v>
      </c>
    </row>
    <row r="40" spans="1:1" ht="16.5" x14ac:dyDescent="0.3">
      <c r="A40" s="16"/>
    </row>
    <row r="41" spans="1:1" x14ac:dyDescent="0.25">
      <c r="A41" s="15" t="s">
        <v>110</v>
      </c>
    </row>
    <row r="42" spans="1:1" ht="16.5" x14ac:dyDescent="0.3">
      <c r="A42" s="16" t="s">
        <v>111</v>
      </c>
    </row>
    <row r="43" spans="1:1" ht="16.5" x14ac:dyDescent="0.3">
      <c r="A43" s="16" t="s">
        <v>112</v>
      </c>
    </row>
    <row r="44" spans="1:1" ht="16.5" x14ac:dyDescent="0.3">
      <c r="A44" s="16" t="s">
        <v>113</v>
      </c>
    </row>
    <row r="45" spans="1:1" ht="16.5" x14ac:dyDescent="0.3">
      <c r="A45" s="16" t="s">
        <v>114</v>
      </c>
    </row>
    <row r="46" spans="1:1" ht="16.5" x14ac:dyDescent="0.3">
      <c r="A46" s="16" t="s">
        <v>115</v>
      </c>
    </row>
    <row r="47" spans="1:1" ht="16.5" x14ac:dyDescent="0.3">
      <c r="A47" s="16"/>
    </row>
    <row r="48" spans="1:1" x14ac:dyDescent="0.25">
      <c r="A48" s="15" t="s">
        <v>116</v>
      </c>
    </row>
    <row r="49" spans="1:1" ht="16.5" x14ac:dyDescent="0.3">
      <c r="A49" s="16" t="s">
        <v>117</v>
      </c>
    </row>
    <row r="50" spans="1:1" ht="16.5" x14ac:dyDescent="0.3">
      <c r="A50" s="16" t="s">
        <v>118</v>
      </c>
    </row>
    <row r="51" spans="1:1" ht="16.5" x14ac:dyDescent="0.3">
      <c r="A51" s="16" t="s">
        <v>119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Quarterly Data</vt:lpstr>
      <vt:lpstr>Yearly Data</vt:lpstr>
      <vt:lpstr>Notes &amp; Sources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2026-08-05T04:45:04Z</dcterms:created>
  <dcterms:modified xsi:type="dcterms:W3CDTF">2026-08-05T09:38:48Z</dcterms:modified>
  <dc:language>en-US</dc:language>
</cp:coreProperties>
</file>