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9200" windowHeight="11595" tabRatio="500"/>
  </bookViews>
  <sheets>
    <sheet name="Yearly Data" sheetId="1" r:id="rId1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8" i="1" l="1"/>
  <c r="I39" i="1" s="1"/>
  <c r="H18" i="1"/>
  <c r="H39" i="1" s="1"/>
  <c r="G18" i="1"/>
  <c r="G39" i="1" s="1"/>
  <c r="F18" i="1"/>
  <c r="F39" i="1" s="1"/>
  <c r="E18" i="1"/>
  <c r="E39" i="1" s="1"/>
  <c r="D18" i="1"/>
  <c r="D39" i="1" s="1"/>
  <c r="C18" i="1"/>
  <c r="C39" i="1" s="1"/>
  <c r="B18" i="1"/>
  <c r="B39" i="1" s="1"/>
  <c r="E22" i="1" l="1"/>
  <c r="I22" i="1"/>
  <c r="B22" i="1"/>
  <c r="F22" i="1"/>
  <c r="C22" i="1"/>
  <c r="G22" i="1"/>
  <c r="D22" i="1"/>
  <c r="H22" i="1"/>
</calcChain>
</file>

<file path=xl/comments1.xml><?xml version="1.0" encoding="utf-8"?>
<comments xmlns="http://schemas.openxmlformats.org/spreadsheetml/2006/main">
  <authors>
    <author>Unknown Author</author>
  </authors>
  <commentList>
    <comment ref="L6" authorId="0" shapeId="0">
      <text>
        <r>
          <rPr>
            <sz val="10"/>
            <rFont val="Arial"/>
            <family val="2"/>
          </rPr>
          <t>Not disclosed as a separate line item in the source for this period.</t>
        </r>
      </text>
    </comment>
    <comment ref="M6" authorId="0" shapeId="0">
      <text>
        <r>
          <rPr>
            <sz val="10"/>
            <rFont val="Arial"/>
            <family val="2"/>
          </rPr>
          <t>Not disclosed as a separate line item in the source for this period.</t>
        </r>
      </text>
    </comment>
    <comment ref="L7" authorId="0" shapeId="0">
      <text>
        <r>
          <rPr>
            <sz val="10"/>
            <rFont val="Arial"/>
            <family val="2"/>
          </rPr>
          <t>Not disclosed as a separate line item in the source for this period.</t>
        </r>
      </text>
    </comment>
    <comment ref="M7" authorId="0" shapeId="0">
      <text>
        <r>
          <rPr>
            <sz val="10"/>
            <rFont val="Arial"/>
            <family val="2"/>
          </rPr>
          <t>Not disclosed as a separate line item in the source for this period.</t>
        </r>
      </text>
    </comment>
    <comment ref="L8" authorId="0" shapeId="0">
      <text>
        <r>
          <rPr>
            <sz val="10"/>
            <rFont val="Arial"/>
            <family val="2"/>
          </rPr>
          <t>Not disclosed as a separate line item in the source for this period.</t>
        </r>
      </text>
    </comment>
    <comment ref="M8" authorId="0" shapeId="0">
      <text>
        <r>
          <rPr>
            <sz val="10"/>
            <rFont val="Arial"/>
            <family val="2"/>
          </rPr>
          <t>Not disclosed as a separate line item in the source for this period.</t>
        </r>
      </text>
    </comment>
    <comment ref="L9" authorId="0" shapeId="0">
      <text>
        <r>
          <rPr>
            <sz val="10"/>
            <rFont val="Arial"/>
            <family val="2"/>
          </rPr>
          <t>Not disclosed as a separate line item in the source for this period.</t>
        </r>
      </text>
    </comment>
    <comment ref="M9" authorId="0" shapeId="0">
      <text>
        <r>
          <rPr>
            <sz val="10"/>
            <rFont val="Arial"/>
            <family val="2"/>
          </rPr>
          <t>Not disclosed as a separate line item in the source for this period.</t>
        </r>
      </text>
    </comment>
    <comment ref="J11" authorId="0" shapeId="0">
      <text>
        <r>
          <rPr>
            <sz val="10"/>
            <rFont val="Arial"/>
            <family val="2"/>
          </rPr>
          <t>Not disclosed as a separate line item in the source for this period.</t>
        </r>
      </text>
    </comment>
    <comment ref="L11" authorId="0" shapeId="0">
      <text>
        <r>
          <rPr>
            <sz val="10"/>
            <rFont val="Arial"/>
            <family val="2"/>
          </rPr>
          <t>Not disclosed as a separate line item in the source for this period.</t>
        </r>
      </text>
    </comment>
    <comment ref="M11" authorId="0" shapeId="0">
      <text>
        <r>
          <rPr>
            <sz val="10"/>
            <rFont val="Arial"/>
            <family val="2"/>
          </rPr>
          <t>Not disclosed as a separate line item in the source for this period.</t>
        </r>
      </text>
    </comment>
    <comment ref="J15" authorId="0" shapeId="0">
      <text>
        <r>
          <rPr>
            <sz val="10"/>
            <rFont val="Arial"/>
            <family val="2"/>
          </rPr>
          <t>Not disclosed as a separate line item in the source for this period.</t>
        </r>
      </text>
    </comment>
    <comment ref="L15" authorId="0" shapeId="0">
      <text>
        <r>
          <rPr>
            <sz val="10"/>
            <rFont val="Arial"/>
            <family val="2"/>
          </rPr>
          <t>Not disclosed as a separate line item in the source for this period.</t>
        </r>
      </text>
    </comment>
    <comment ref="M15" authorId="0" shapeId="0">
      <text>
        <r>
          <rPr>
            <sz val="10"/>
            <rFont val="Arial"/>
            <family val="2"/>
          </rPr>
          <t>Not disclosed as a separate line item in the source for this period.</t>
        </r>
      </text>
    </comment>
    <comment ref="B18" authorId="0" shapeId="0">
      <text>
        <r>
          <rPr>
            <sz val="10"/>
            <rFont val="Arial"/>
            <family val="2"/>
          </rPr>
          <t>Corrected 12-Aug-2026: Total Income redefined as NII + Other Income (row14+row17), matching MOFSL's own definition. Previously this row used gross Interest Earned + Other Income (before deducting interest expense) for columns B:K, overstating Total Income by ~the interest-expense amount (e.g. FY26 showed Rs.5,51,647cr vs MOFSL-reported Rs.2,41,970cr). Source: Motilal Oswal Financial Services, 'State Bank of India' 1QFY27 Results Update, 8-Aug-2026.</t>
        </r>
      </text>
    </comment>
    <comment ref="L19" authorId="0" shapeId="0">
      <text>
        <r>
          <rPr>
            <sz val="10"/>
            <rFont val="Arial"/>
            <family val="2"/>
          </rPr>
          <t>Derived by combining other disclosed figures in this column (not an explicit source line item). Estimate — Motilal Oswal Financial Services (MOFSL) research report on SBIN, dated 8-Aug-2026.</t>
        </r>
      </text>
    </comment>
    <comment ref="M19" authorId="0" shapeId="0">
      <text>
        <r>
          <rPr>
            <sz val="10"/>
            <rFont val="Arial"/>
            <family val="2"/>
          </rPr>
          <t>Derived by combining other disclosed figures in this column (not an explicit source line item). Estimate — Motilal Oswal Financial Services (MOFSL) research report on SBIN, dated 8-Aug-2026.</t>
        </r>
      </text>
    </comment>
    <comment ref="L20" authorId="0" shapeId="0">
      <text>
        <r>
          <rPr>
            <sz val="10"/>
            <rFont val="Arial"/>
            <family val="2"/>
          </rPr>
          <t>Derived by combining other disclosed figures in this column (not an explicit source line item). Estimate — Motilal Oswal Financial Services (MOFSL) research report on SBIN, dated 8-Aug-2026.</t>
        </r>
      </text>
    </comment>
    <comment ref="M20" authorId="0" shapeId="0">
      <text>
        <r>
          <rPr>
            <sz val="10"/>
            <rFont val="Arial"/>
            <family val="2"/>
          </rPr>
          <t>Derived by combining other disclosed figures in this column (not an explicit source line item). Estimate — Motilal Oswal Financial Services (MOFSL) research report on SBIN, dated 8-Aug-2026.</t>
        </r>
      </text>
    </comment>
    <comment ref="B22" authorId="0" shapeId="0">
      <text>
        <r>
          <rPr>
            <sz val="10"/>
            <rFont val="Arial"/>
            <family val="2"/>
          </rPr>
          <t>Corrected 12-Aug-2026: converted to formula (=TotalIncome-OpEx) so it recalculates consistently with the corrected Total Income row. Values unchanged - they already matched the MOFSL source.</t>
        </r>
      </text>
    </comment>
    <comment ref="J23" authorId="0" shapeId="0">
      <text>
        <r>
          <rPr>
            <sz val="10"/>
            <rFont val="Arial"/>
            <family val="2"/>
          </rPr>
          <t>Not disclosed as a separate line item in the source for this period.</t>
        </r>
      </text>
    </comment>
    <comment ref="L23" authorId="0" shapeId="0">
      <text>
        <r>
          <rPr>
            <sz val="10"/>
            <rFont val="Arial"/>
            <family val="2"/>
          </rPr>
          <t>Not disclosed as a separate line item in the source for this period.</t>
        </r>
      </text>
    </comment>
    <comment ref="M23" authorId="0" shapeId="0">
      <text>
        <r>
          <rPr>
            <sz val="10"/>
            <rFont val="Arial"/>
            <family val="2"/>
          </rPr>
          <t>Not disclosed as a separate line item in the source for this period.</t>
        </r>
      </text>
    </comment>
    <comment ref="L24" authorId="0" shapeId="0">
      <text>
        <r>
          <rPr>
            <sz val="10"/>
            <rFont val="Arial"/>
            <family val="2"/>
          </rPr>
          <t>Derived by combining other disclosed figures in this column (not an explicit source line item). Estimate — Motilal Oswal Financial Services (MOFSL) research report on SBIN, dated 8-Aug-2026.</t>
        </r>
      </text>
    </comment>
    <comment ref="M24" authorId="0" shapeId="0">
      <text>
        <r>
          <rPr>
            <sz val="10"/>
            <rFont val="Arial"/>
            <family val="2"/>
          </rPr>
          <t>Derived by combining other disclosed figures in this column (not an explicit source line item). Estimate — Motilal Oswal Financial Services (MOFSL) research report on SBIN, dated 8-Aug-2026.</t>
        </r>
      </text>
    </comment>
    <comment ref="J30" authorId="0" shapeId="0">
      <text>
        <r>
          <rPr>
            <sz val="10"/>
            <rFont val="Arial"/>
            <family val="2"/>
          </rPr>
          <t>Not disclosed as a separate line item in the source for this period.</t>
        </r>
      </text>
    </comment>
    <comment ref="L30" authorId="0" shapeId="0">
      <text>
        <r>
          <rPr>
            <sz val="10"/>
            <rFont val="Arial"/>
            <family val="2"/>
          </rPr>
          <t>Not disclosed as a separate line item in the source for this period.</t>
        </r>
      </text>
    </comment>
    <comment ref="M30" authorId="0" shapeId="0">
      <text>
        <r>
          <rPr>
            <sz val="10"/>
            <rFont val="Arial"/>
            <family val="2"/>
          </rPr>
          <t>Not disclosed as a separate line item in the source for this period.</t>
        </r>
      </text>
    </comment>
    <comment ref="J35" authorId="0" shapeId="0">
      <text>
        <r>
          <rPr>
            <sz val="10"/>
            <rFont val="Arial"/>
            <family val="2"/>
          </rPr>
          <t>EPS (INR): old 87.59 -&gt; MOFSL-reported 88.2
Source: Motilal Oswal Financial Services, 'State Bank of India' 1QFY27 Results Update, 8-Aug-2026.</t>
        </r>
      </text>
    </comment>
    <comment ref="J37" authorId="0" shapeId="0">
      <text>
        <r>
          <rPr>
            <sz val="10"/>
            <rFont val="Arial"/>
            <family val="2"/>
          </rPr>
          <t>Book Value (INR): old 512.31 -&gt; MOFSL-reported 569 (-9.96% old vs source)
Source: Motilal Oswal Financial Services, 'State Bank of India' 1QFY27 Results Update, 8-Aug-2026.</t>
        </r>
      </text>
    </comment>
    <comment ref="J38" authorId="0" shapeId="0">
      <text>
        <r>
          <rPr>
            <sz val="10"/>
            <rFont val="Arial"/>
            <family val="2"/>
          </rPr>
          <t>Adjusted Book Value (INR): old 512.31 -&gt; MOFSL-reported 542 (-5.48% old vs source)
Source: Motilal Oswal Financial Services, 'State Bank of India' 1QFY27 Results Update, 8-Aug-2026.</t>
        </r>
      </text>
    </comment>
    <comment ref="B39" authorId="0" shapeId="0">
      <text>
        <r>
          <rPr>
            <sz val="10"/>
            <rFont val="Arial"/>
            <family val="2"/>
          </rPr>
          <t>Corrected 12-Aug-2026: converted to formula (=OpEx/TotalIncome) and reformatted as 0.00% for all columns. Previously columns B:I stored the ratio pre-multiplied by 100 with a plain number format (displaying e.g. '23.76' instead of '23.76%'), while J:M stored it as a fraction (e.g. '0.224') also with a plain number format (displaying '0.22' instead of '22.4%'). Combined with the Total Income fix, this now reads correctly across every column and matches MOFSL's reported Cost-to-Income Ratio (e.g. 46.7% for 1QFY27, vs the ~0.20 the sheet showed before).</t>
        </r>
      </text>
    </comment>
    <comment ref="J47" authorId="0" shapeId="0">
      <text>
        <r>
          <rPr>
            <sz val="10"/>
            <rFont val="Arial"/>
            <family val="2"/>
          </rPr>
          <t>RoE %: old 18.57% -&gt; MOFSL-reported 17.3%
Source: Motilal Oswal Financial Services, 'State Bank of India' 1QFY27 Results Update, 8-Aug-2026.</t>
        </r>
      </text>
    </comment>
    <comment ref="L49" authorId="0" shapeId="0">
      <text>
        <r>
          <rPr>
            <sz val="10"/>
            <rFont val="Arial"/>
            <family val="2"/>
          </rPr>
          <t>Not disclosed as a separate line item in the source for this period.</t>
        </r>
      </text>
    </comment>
    <comment ref="M49" authorId="0" shapeId="0">
      <text>
        <r>
          <rPr>
            <sz val="10"/>
            <rFont val="Arial"/>
            <family val="2"/>
          </rPr>
          <t>Not disclosed as a separate line item in the source for this period.</t>
        </r>
      </text>
    </comment>
    <comment ref="E52" authorId="0" shapeId="0">
      <text>
        <r>
          <rPr>
            <sz val="10"/>
            <rFont val="Arial"/>
            <family val="2"/>
          </rPr>
          <t>MINOR FLAG (not changed): Quarterly Mar-24 Total Advances (3,703,097.50) differs from the Yearly Data sheet FY24 figure (3,703,970.85) by ~Rs 873 cr (0.02%). This is small and may reflect a later restatement (the Notes &amp; Sources sheet notes that quarterly filings are sometimes restated in later comparative columns) - flagged for awareness, not corrected.</t>
        </r>
      </text>
    </comment>
    <comment ref="J57" authorId="0" shapeId="0">
      <text>
        <r>
          <rPr>
            <sz val="10"/>
            <rFont val="Arial"/>
            <family val="2"/>
          </rPr>
          <t>CASA Ratio %: old 39.46% -&gt; MOFSL-reported 38.3%
Source: Motilal Oswal Financial Services, 'State Bank of India' 1QFY27 Results Update, 8-Aug-2026.</t>
        </r>
      </text>
    </comment>
  </commentList>
</comments>
</file>

<file path=xl/sharedStrings.xml><?xml version="1.0" encoding="utf-8"?>
<sst xmlns="http://schemas.openxmlformats.org/spreadsheetml/2006/main" count="69" uniqueCount="66">
  <si>
    <t>STATE BANK OF INDIA (SBIN) - STANDALONE FINANCIAL METRICS  YoY (Amount in Rs. crore)</t>
  </si>
  <si>
    <t>FY 23 - 24</t>
  </si>
  <si>
    <t>FY 24 - 25</t>
  </si>
  <si>
    <t>Actual</t>
  </si>
  <si>
    <t>Estimates</t>
  </si>
  <si>
    <t>(Amount in Crores)</t>
  </si>
  <si>
    <t>Jun-23</t>
  </si>
  <si>
    <t>Sep-23</t>
  </si>
  <si>
    <t>Dec-23</t>
  </si>
  <si>
    <t>Mar-24</t>
  </si>
  <si>
    <t>Jun-24</t>
  </si>
  <si>
    <t>Sep-24</t>
  </si>
  <si>
    <t>Dec-24</t>
  </si>
  <si>
    <t>Mar-25</t>
  </si>
  <si>
    <t>FY 26</t>
  </si>
  <si>
    <t>FY27 Q1</t>
  </si>
  <si>
    <t>FY 27</t>
  </si>
  <si>
    <t>FY 28</t>
  </si>
  <si>
    <t>Interest / Discount on advances</t>
  </si>
  <si>
    <t>Income on Investments</t>
  </si>
  <si>
    <t>Interest on balances with RBI &amp; other Inter-bank funds</t>
  </si>
  <si>
    <t>Others</t>
  </si>
  <si>
    <t xml:space="preserve">Interest Earned </t>
  </si>
  <si>
    <t>Growth (YoY)</t>
  </si>
  <si>
    <t>Interest Paid</t>
  </si>
  <si>
    <t>Net Interest Income</t>
  </si>
  <si>
    <t>Other Income</t>
  </si>
  <si>
    <t>Total Income</t>
  </si>
  <si>
    <t>Employee cost</t>
  </si>
  <si>
    <t>Other Operating expenses</t>
  </si>
  <si>
    <t>Operating Expenses</t>
  </si>
  <si>
    <t>Operating Profit (before provisions)</t>
  </si>
  <si>
    <t>Provisions &amp; Contingencies</t>
  </si>
  <si>
    <t>Exceptional Items</t>
  </si>
  <si>
    <t>Profit Before Tax</t>
  </si>
  <si>
    <t>Provision for Taxes</t>
  </si>
  <si>
    <t>Net Profit</t>
  </si>
  <si>
    <t>Capital Adequacy Ratio %</t>
  </si>
  <si>
    <t>Equity Share Capital (FV Rs.1/share)</t>
  </si>
  <si>
    <t xml:space="preserve">EPS </t>
  </si>
  <si>
    <t>Reserves &amp; Surplus (as per Balance Sheet)</t>
  </si>
  <si>
    <t>Book Value</t>
  </si>
  <si>
    <t>Adjusted Book Value ( Standalone )</t>
  </si>
  <si>
    <t>Cost to Income Ratio %</t>
  </si>
  <si>
    <t>OPM % [(NII - Op.Exp)/Int.Income]</t>
  </si>
  <si>
    <t>Other Income / Total Income %</t>
  </si>
  <si>
    <t>Gross NPA (Rs cr)</t>
  </si>
  <si>
    <t>Net NPA (Rs cr)</t>
  </si>
  <si>
    <t>Gross NPA %</t>
  </si>
  <si>
    <t>Net NPA %</t>
  </si>
  <si>
    <t>ROA % (as reported)</t>
  </si>
  <si>
    <t>ROE % (annualized, computed)</t>
  </si>
  <si>
    <t>NIM % (as reported, IEA basis)</t>
  </si>
  <si>
    <t>NIM % (est. NII/Avg Total Assets)</t>
  </si>
  <si>
    <t>Provision Coverage Ratio % (computed)</t>
  </si>
  <si>
    <t>Balance Sheet Data</t>
  </si>
  <si>
    <t>Total Advances</t>
  </si>
  <si>
    <t>Total Assets (Balance Sheet size)</t>
  </si>
  <si>
    <t>Total Deposits</t>
  </si>
  <si>
    <t>Term Deposits</t>
  </si>
  <si>
    <t xml:space="preserve">CASA </t>
  </si>
  <si>
    <t>CASA Ratio %</t>
  </si>
  <si>
    <t>P/BV (x)</t>
  </si>
  <si>
    <t>P/ABV (x) (Adjusted for subsidiaries)</t>
  </si>
  <si>
    <t xml:space="preserve">P/E (x) </t>
  </si>
  <si>
    <t>P/E (x) (Adjusted for subsidiaries)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</si>
</sst>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\-"/>
    <numFmt numFmtId="165" formatCode="#,##0.00\x;\-#,##0.00&quot;x,&quot;"/>
  </numFmts>
  <fonts count="10" x14ac:knownFonts="1">
    <font>
      <sz val="11"/>
      <color theme="1"/>
      <name val="Calibri"/>
      <family val="2"/>
      <charset val="1"/>
    </font>
    <font>
      <b/>
      <sz val="11"/>
      <color rgb="FF000000"/>
      <name val="Book Antiqua"/>
      <family val="1"/>
      <charset val="1"/>
    </font>
    <font>
      <b/>
      <i/>
      <sz val="9"/>
      <color rgb="FF000000"/>
      <name val="Book Antiqua"/>
      <family val="1"/>
      <charset val="1"/>
    </font>
    <font>
      <sz val="11"/>
      <color rgb="FF000000"/>
      <name val="Book Antiqua"/>
      <family val="1"/>
      <charset val="1"/>
    </font>
    <font>
      <b/>
      <sz val="11"/>
      <color theme="1"/>
      <name val="Calibri"/>
      <family val="2"/>
      <charset val="1"/>
    </font>
    <font>
      <b/>
      <sz val="11"/>
      <name val="Book Antiqua"/>
      <family val="1"/>
      <charset val="1"/>
    </font>
    <font>
      <sz val="11"/>
      <name val="Book Antiqua"/>
      <family val="1"/>
      <charset val="1"/>
    </font>
    <font>
      <i/>
      <sz val="11"/>
      <color rgb="FF0000FF"/>
      <name val="Book Antiqua"/>
      <family val="1"/>
      <charset val="1"/>
    </font>
    <font>
      <sz val="1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2" xfId="0" applyFont="1" applyBorder="1"/>
    <xf numFmtId="0" fontId="5" fillId="0" borderId="4" xfId="0" applyFont="1" applyBorder="1"/>
    <xf numFmtId="0" fontId="1" fillId="0" borderId="5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6" fillId="0" borderId="6" xfId="0" applyFont="1" applyBorder="1"/>
    <xf numFmtId="4" fontId="3" fillId="0" borderId="6" xfId="0" applyNumberFormat="1" applyFont="1" applyBorder="1"/>
    <xf numFmtId="0" fontId="6" fillId="0" borderId="7" xfId="0" applyFont="1" applyBorder="1"/>
    <xf numFmtId="4" fontId="3" fillId="0" borderId="7" xfId="0" applyNumberFormat="1" applyFont="1" applyBorder="1"/>
    <xf numFmtId="2" fontId="3" fillId="0" borderId="7" xfId="0" applyNumberFormat="1" applyFont="1" applyBorder="1"/>
    <xf numFmtId="0" fontId="5" fillId="2" borderId="7" xfId="0" applyFont="1" applyFill="1" applyBorder="1"/>
    <xf numFmtId="4" fontId="1" fillId="2" borderId="7" xfId="0" applyNumberFormat="1" applyFont="1" applyFill="1" applyBorder="1"/>
    <xf numFmtId="0" fontId="7" fillId="0" borderId="7" xfId="0" applyFont="1" applyBorder="1" applyAlignment="1">
      <alignment horizontal="left" indent="3"/>
    </xf>
    <xf numFmtId="10" fontId="7" fillId="0" borderId="7" xfId="0" applyNumberFormat="1" applyFont="1" applyBorder="1"/>
    <xf numFmtId="4" fontId="0" fillId="0" borderId="0" xfId="0" applyNumberFormat="1"/>
    <xf numFmtId="9" fontId="8" fillId="0" borderId="0" xfId="0" applyNumberFormat="1" applyFont="1"/>
    <xf numFmtId="0" fontId="5" fillId="0" borderId="7" xfId="0" applyFont="1" applyBorder="1"/>
    <xf numFmtId="4" fontId="1" fillId="0" borderId="7" xfId="0" applyNumberFormat="1" applyFont="1" applyBorder="1"/>
    <xf numFmtId="0" fontId="1" fillId="2" borderId="7" xfId="0" applyFont="1" applyFill="1" applyBorder="1" applyAlignment="1">
      <alignment horizontal="left"/>
    </xf>
    <xf numFmtId="10" fontId="8" fillId="0" borderId="0" xfId="0" applyNumberFormat="1" applyFont="1"/>
    <xf numFmtId="10" fontId="0" fillId="0" borderId="0" xfId="0" applyNumberFormat="1"/>
    <xf numFmtId="0" fontId="3" fillId="0" borderId="7" xfId="0" applyFont="1" applyBorder="1" applyAlignment="1">
      <alignment horizontal="left"/>
    </xf>
    <xf numFmtId="164" fontId="3" fillId="0" borderId="7" xfId="0" applyNumberFormat="1" applyFont="1" applyBorder="1" applyAlignment="1">
      <alignment horizontal="center"/>
    </xf>
    <xf numFmtId="0" fontId="3" fillId="0" borderId="7" xfId="0" applyFont="1" applyBorder="1"/>
    <xf numFmtId="10" fontId="3" fillId="0" borderId="7" xfId="0" applyNumberFormat="1" applyFont="1" applyBorder="1"/>
    <xf numFmtId="0" fontId="1" fillId="0" borderId="7" xfId="0" applyFont="1" applyBorder="1" applyAlignment="1">
      <alignment horizontal="left"/>
    </xf>
    <xf numFmtId="0" fontId="4" fillId="0" borderId="0" xfId="0" applyFont="1"/>
    <xf numFmtId="0" fontId="1" fillId="0" borderId="8" xfId="0" applyFont="1" applyBorder="1" applyAlignment="1">
      <alignment horizontal="left"/>
    </xf>
    <xf numFmtId="10" fontId="1" fillId="0" borderId="8" xfId="0" applyNumberFormat="1" applyFont="1" applyBorder="1"/>
    <xf numFmtId="165" fontId="3" fillId="0" borderId="7" xfId="0" applyNumberFormat="1" applyFont="1" applyBorder="1"/>
    <xf numFmtId="0" fontId="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T61"/>
  <sheetViews>
    <sheetView showGridLines="0" tabSelected="1" zoomScaleNormal="100" workbookViewId="0">
      <pane xSplit="1" ySplit="4" topLeftCell="J5" activePane="bottomRight" state="frozen"/>
      <selection pane="topRight" activeCell="J1" sqref="J1"/>
      <selection pane="bottomLeft" activeCell="A40" sqref="A40"/>
      <selection pane="bottomRight" activeCell="A2" sqref="A2"/>
    </sheetView>
  </sheetViews>
  <sheetFormatPr defaultColWidth="8.7109375" defaultRowHeight="15" x14ac:dyDescent="0.25"/>
  <cols>
    <col min="1" max="1" width="53.140625" customWidth="1"/>
    <col min="2" max="9" width="14.28515625" hidden="1" customWidth="1"/>
    <col min="10" max="30" width="14.28515625" customWidth="1"/>
  </cols>
  <sheetData>
    <row r="1" spans="1:13" ht="17.25" customHeight="1" x14ac:dyDescent="0.25">
      <c r="A1" s="1" t="s">
        <v>0</v>
      </c>
    </row>
    <row r="2" spans="1:13" ht="17.25" customHeight="1" x14ac:dyDescent="0.3">
      <c r="A2" s="2"/>
    </row>
    <row r="3" spans="1:13" ht="15.75" customHeight="1" x14ac:dyDescent="0.3">
      <c r="A3" s="3"/>
      <c r="B3" s="33" t="s">
        <v>1</v>
      </c>
      <c r="C3" s="33"/>
      <c r="D3" s="33"/>
      <c r="E3" s="33"/>
      <c r="F3" s="33" t="s">
        <v>2</v>
      </c>
      <c r="G3" s="33"/>
      <c r="H3" s="33"/>
      <c r="I3" s="33"/>
      <c r="J3" s="34" t="s">
        <v>3</v>
      </c>
      <c r="K3" s="34"/>
      <c r="L3" s="35" t="s">
        <v>4</v>
      </c>
      <c r="M3" s="35"/>
    </row>
    <row r="4" spans="1:13" ht="16.5" customHeight="1" x14ac:dyDescent="0.25">
      <c r="A4" s="4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6" t="s">
        <v>16</v>
      </c>
      <c r="M4" s="6" t="s">
        <v>17</v>
      </c>
    </row>
    <row r="5" spans="1:13" ht="15.75" customHeight="1" x14ac:dyDescent="0.3">
      <c r="A5" s="7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5.75" customHeight="1" x14ac:dyDescent="0.3">
      <c r="A6" s="8" t="s">
        <v>18</v>
      </c>
      <c r="B6" s="9">
        <v>67127.94</v>
      </c>
      <c r="C6" s="9">
        <v>70259.53</v>
      </c>
      <c r="D6" s="9">
        <v>73516.97</v>
      </c>
      <c r="E6" s="9">
        <v>77133.8</v>
      </c>
      <c r="F6" s="9">
        <v>78692.570000000007</v>
      </c>
      <c r="G6" s="9">
        <v>81528.570000000007</v>
      </c>
      <c r="H6" s="9">
        <v>83399.48</v>
      </c>
      <c r="I6" s="9">
        <v>85709.69</v>
      </c>
      <c r="J6" s="9"/>
      <c r="K6" s="9"/>
      <c r="L6" s="9"/>
      <c r="M6" s="9"/>
    </row>
    <row r="7" spans="1:13" ht="15.75" customHeight="1" x14ac:dyDescent="0.3">
      <c r="A7" s="10" t="s">
        <v>19</v>
      </c>
      <c r="B7" s="11">
        <v>25006.959999999999</v>
      </c>
      <c r="C7" s="11">
        <v>27002.31</v>
      </c>
      <c r="D7" s="11">
        <v>28430.73</v>
      </c>
      <c r="E7" s="11">
        <v>28200.51</v>
      </c>
      <c r="F7" s="11">
        <v>28265.23</v>
      </c>
      <c r="G7" s="11">
        <v>28023.64</v>
      </c>
      <c r="H7" s="11">
        <v>29286.3</v>
      </c>
      <c r="I7" s="11">
        <v>29456.17</v>
      </c>
      <c r="J7" s="11"/>
      <c r="K7" s="11"/>
      <c r="L7" s="11"/>
      <c r="M7" s="11"/>
    </row>
    <row r="8" spans="1:13" ht="15.75" customHeight="1" x14ac:dyDescent="0.3">
      <c r="A8" s="10" t="s">
        <v>20</v>
      </c>
      <c r="B8" s="12">
        <v>1359.31</v>
      </c>
      <c r="C8" s="12">
        <v>1290.5899999999999</v>
      </c>
      <c r="D8" s="12">
        <v>1274.53</v>
      </c>
      <c r="E8" s="12">
        <v>1165.76</v>
      </c>
      <c r="F8" s="12">
        <v>1062.1300000000001</v>
      </c>
      <c r="G8" s="12">
        <v>980.89</v>
      </c>
      <c r="H8" s="12">
        <v>1243.9000000000001</v>
      </c>
      <c r="I8" s="12">
        <v>1129.0899999999999</v>
      </c>
      <c r="J8" s="12"/>
      <c r="K8" s="12"/>
      <c r="L8" s="12"/>
      <c r="M8" s="12"/>
    </row>
    <row r="9" spans="1:13" ht="15.75" customHeight="1" x14ac:dyDescent="0.3">
      <c r="A9" s="10" t="s">
        <v>21</v>
      </c>
      <c r="B9" s="12">
        <v>2481.2399999999998</v>
      </c>
      <c r="C9" s="11">
        <v>2826.37</v>
      </c>
      <c r="D9" s="11">
        <v>3511.55</v>
      </c>
      <c r="E9" s="11">
        <v>4542.5600000000004</v>
      </c>
      <c r="F9" s="11">
        <v>3506.05</v>
      </c>
      <c r="G9" s="11">
        <v>3337.46</v>
      </c>
      <c r="H9" s="11">
        <v>3496.95</v>
      </c>
      <c r="I9" s="11">
        <v>3371.23</v>
      </c>
      <c r="J9" s="11"/>
      <c r="K9" s="11"/>
      <c r="L9" s="11"/>
      <c r="M9" s="11"/>
    </row>
    <row r="10" spans="1:13" ht="15.75" customHeight="1" x14ac:dyDescent="0.25">
      <c r="A10" s="13" t="s">
        <v>22</v>
      </c>
      <c r="B10" s="14">
        <v>95975.45</v>
      </c>
      <c r="C10" s="14">
        <v>101378.8</v>
      </c>
      <c r="D10" s="14">
        <v>106733.78</v>
      </c>
      <c r="E10" s="14">
        <v>111042.63</v>
      </c>
      <c r="F10" s="14">
        <v>111525.98</v>
      </c>
      <c r="G10" s="14">
        <v>113870.56</v>
      </c>
      <c r="H10" s="14">
        <v>117426.63</v>
      </c>
      <c r="I10" s="14">
        <v>119666.18</v>
      </c>
      <c r="J10" s="14"/>
      <c r="K10" s="14"/>
      <c r="L10" s="14"/>
      <c r="M10" s="14"/>
    </row>
    <row r="11" spans="1:13" ht="15.75" customHeight="1" x14ac:dyDescent="0.25">
      <c r="A11" s="15"/>
      <c r="B11" s="16">
        <v>3.2500000000000001E-2</v>
      </c>
      <c r="C11" s="16">
        <v>5.6300000000000003E-2</v>
      </c>
      <c r="D11" s="16">
        <v>5.28E-2</v>
      </c>
      <c r="E11" s="16">
        <v>4.0399999999999998E-2</v>
      </c>
      <c r="F11" s="16">
        <v>4.4000000000000003E-3</v>
      </c>
      <c r="G11" s="16">
        <v>2.1000000000000001E-2</v>
      </c>
      <c r="H11" s="16">
        <v>3.1199999999999999E-2</v>
      </c>
      <c r="I11" s="16">
        <v>1.9099999999999999E-2</v>
      </c>
      <c r="J11" s="16"/>
      <c r="K11" s="16"/>
      <c r="L11" s="16"/>
      <c r="M11" s="16"/>
    </row>
    <row r="12" spans="1:13" ht="15.75" customHeight="1" x14ac:dyDescent="0.25">
      <c r="A12" s="15" t="s">
        <v>23</v>
      </c>
      <c r="B12" s="16">
        <v>0.3206</v>
      </c>
      <c r="C12" s="16">
        <v>0.26939999999999997</v>
      </c>
      <c r="D12" s="16">
        <v>0.23230000000000001</v>
      </c>
      <c r="E12" s="16">
        <v>0.1946</v>
      </c>
      <c r="F12" s="16">
        <v>0.16200000000000001</v>
      </c>
      <c r="G12" s="16">
        <v>0.1232</v>
      </c>
      <c r="H12" s="16">
        <v>0.1002</v>
      </c>
      <c r="I12" s="16">
        <v>7.7700000000000005E-2</v>
      </c>
      <c r="J12" s="16"/>
      <c r="K12" s="16"/>
      <c r="L12" s="16"/>
      <c r="M12" s="16"/>
    </row>
    <row r="13" spans="1:13" ht="15.75" customHeight="1" x14ac:dyDescent="0.3">
      <c r="A13" s="10" t="s">
        <v>24</v>
      </c>
      <c r="B13" s="11">
        <v>57070.5</v>
      </c>
      <c r="C13" s="11">
        <v>61878.84</v>
      </c>
      <c r="D13" s="11">
        <v>66918.05</v>
      </c>
      <c r="E13" s="11">
        <v>69387.44</v>
      </c>
      <c r="F13" s="11">
        <v>70400.53</v>
      </c>
      <c r="G13" s="11">
        <v>72251.02</v>
      </c>
      <c r="H13" s="11">
        <v>75981.119999999995</v>
      </c>
      <c r="I13" s="11">
        <v>76891.55</v>
      </c>
      <c r="J13" s="11"/>
      <c r="K13" s="11"/>
      <c r="L13" s="11"/>
      <c r="M13" s="11"/>
    </row>
    <row r="14" spans="1:13" ht="15.75" customHeight="1" x14ac:dyDescent="0.25">
      <c r="A14" s="13" t="s">
        <v>25</v>
      </c>
      <c r="B14" s="14">
        <v>38904.949999999997</v>
      </c>
      <c r="C14" s="14">
        <v>39499.96</v>
      </c>
      <c r="D14" s="14">
        <v>39815.730000000003</v>
      </c>
      <c r="E14" s="14">
        <v>41655.19</v>
      </c>
      <c r="F14" s="14">
        <v>41125.449999999997</v>
      </c>
      <c r="G14" s="14">
        <v>41619.54</v>
      </c>
      <c r="H14" s="14">
        <v>41445.51</v>
      </c>
      <c r="I14" s="14">
        <v>42774.63</v>
      </c>
      <c r="J14" s="14"/>
      <c r="K14" s="14"/>
      <c r="L14" s="14"/>
      <c r="M14" s="14"/>
    </row>
    <row r="15" spans="1:13" ht="15.75" customHeight="1" x14ac:dyDescent="0.25">
      <c r="A15" s="15"/>
      <c r="B15" s="16">
        <v>-3.6799999999999999E-2</v>
      </c>
      <c r="C15" s="16">
        <v>1.5299999999999999E-2</v>
      </c>
      <c r="D15" s="16">
        <v>8.0000000000000002E-3</v>
      </c>
      <c r="E15" s="16">
        <v>4.6199999999999998E-2</v>
      </c>
      <c r="F15" s="16">
        <v>-1.2699999999999999E-2</v>
      </c>
      <c r="G15" s="16">
        <v>1.2E-2</v>
      </c>
      <c r="H15" s="16">
        <v>-4.1999999999999997E-3</v>
      </c>
      <c r="I15" s="16">
        <v>3.2099999999999997E-2</v>
      </c>
      <c r="J15" s="16"/>
      <c r="K15" s="16"/>
      <c r="L15" s="16"/>
      <c r="M15" s="16"/>
    </row>
    <row r="16" spans="1:13" ht="15.75" customHeight="1" x14ac:dyDescent="0.25">
      <c r="A16" s="15" t="s">
        <v>23</v>
      </c>
      <c r="B16" s="16">
        <v>0.24709999999999999</v>
      </c>
      <c r="C16" s="16">
        <v>0.1227</v>
      </c>
      <c r="D16" s="16">
        <v>4.5900000000000003E-2</v>
      </c>
      <c r="E16" s="16">
        <v>3.1300000000000001E-2</v>
      </c>
      <c r="F16" s="16">
        <v>5.7099999999999998E-2</v>
      </c>
      <c r="G16" s="16">
        <v>5.3699999999999998E-2</v>
      </c>
      <c r="H16" s="16">
        <v>4.0899999999999999E-2</v>
      </c>
      <c r="I16" s="16">
        <v>2.69E-2</v>
      </c>
      <c r="J16" s="16"/>
      <c r="K16" s="16"/>
      <c r="L16" s="16"/>
      <c r="M16" s="16"/>
    </row>
    <row r="17" spans="1:20" ht="15.75" customHeight="1" x14ac:dyDescent="0.3">
      <c r="A17" s="10" t="s">
        <v>26</v>
      </c>
      <c r="B17" s="11">
        <v>12063.38</v>
      </c>
      <c r="C17" s="11">
        <v>10790.63</v>
      </c>
      <c r="D17" s="11">
        <v>11458.9</v>
      </c>
      <c r="E17" s="11">
        <v>17369.25</v>
      </c>
      <c r="F17" s="11">
        <v>11161.87</v>
      </c>
      <c r="G17" s="11">
        <v>15270.55</v>
      </c>
      <c r="H17" s="11">
        <v>11040.76</v>
      </c>
      <c r="I17" s="11">
        <v>24209.88</v>
      </c>
      <c r="J17" s="11"/>
      <c r="K17" s="11"/>
      <c r="L17" s="11"/>
      <c r="M17" s="11"/>
    </row>
    <row r="18" spans="1:20" ht="15.75" customHeight="1" x14ac:dyDescent="0.25">
      <c r="A18" s="13" t="s">
        <v>27</v>
      </c>
      <c r="B18" s="14">
        <f t="shared" ref="B18:M18" si="0">B14+B17</f>
        <v>50968.329999999994</v>
      </c>
      <c r="C18" s="14">
        <f t="shared" si="0"/>
        <v>50290.59</v>
      </c>
      <c r="D18" s="14">
        <f t="shared" si="0"/>
        <v>51274.630000000005</v>
      </c>
      <c r="E18" s="14">
        <f t="shared" si="0"/>
        <v>59024.44</v>
      </c>
      <c r="F18" s="14">
        <f t="shared" si="0"/>
        <v>52287.32</v>
      </c>
      <c r="G18" s="14">
        <f t="shared" si="0"/>
        <v>56890.09</v>
      </c>
      <c r="H18" s="14">
        <f t="shared" si="0"/>
        <v>52486.270000000004</v>
      </c>
      <c r="I18" s="14">
        <f t="shared" si="0"/>
        <v>66984.509999999995</v>
      </c>
      <c r="J18" s="14"/>
      <c r="K18" s="14"/>
      <c r="L18" s="14"/>
      <c r="M18" s="14"/>
    </row>
    <row r="19" spans="1:20" ht="15.75" customHeight="1" x14ac:dyDescent="0.3">
      <c r="A19" s="10" t="s">
        <v>28</v>
      </c>
      <c r="B19" s="11">
        <v>16600.669999999998</v>
      </c>
      <c r="C19" s="11">
        <v>18926.39</v>
      </c>
      <c r="D19" s="11">
        <v>19361.82</v>
      </c>
      <c r="E19" s="11">
        <v>16348.1</v>
      </c>
      <c r="F19" s="11">
        <v>15465.97</v>
      </c>
      <c r="G19" s="11">
        <v>14807.35</v>
      </c>
      <c r="H19" s="11">
        <v>16073.72</v>
      </c>
      <c r="I19" s="11">
        <v>18005.2</v>
      </c>
      <c r="J19" s="11"/>
      <c r="K19" s="11"/>
      <c r="L19" s="11"/>
      <c r="M19" s="11"/>
      <c r="O19" s="17"/>
    </row>
    <row r="20" spans="1:20" ht="15.75" customHeight="1" x14ac:dyDescent="0.3">
      <c r="A20" s="10" t="s">
        <v>29</v>
      </c>
      <c r="B20" s="11">
        <v>9070.73</v>
      </c>
      <c r="C20" s="11">
        <v>11947.58</v>
      </c>
      <c r="D20" s="11">
        <v>11576.73</v>
      </c>
      <c r="E20" s="11">
        <v>13928.79</v>
      </c>
      <c r="F20" s="11">
        <v>10372.77</v>
      </c>
      <c r="G20" s="11">
        <v>12789</v>
      </c>
      <c r="H20" s="11">
        <v>12861.74</v>
      </c>
      <c r="I20" s="11">
        <v>17693.27</v>
      </c>
      <c r="J20" s="11"/>
      <c r="K20" s="11"/>
      <c r="L20" s="11"/>
      <c r="M20" s="11"/>
      <c r="O20" s="18"/>
    </row>
    <row r="21" spans="1:20" ht="15.75" customHeight="1" x14ac:dyDescent="0.25">
      <c r="A21" s="19" t="s">
        <v>30</v>
      </c>
      <c r="B21" s="20">
        <v>25671.4</v>
      </c>
      <c r="C21" s="20">
        <v>30873.97</v>
      </c>
      <c r="D21" s="20">
        <v>30938.55</v>
      </c>
      <c r="E21" s="20">
        <v>30276.89</v>
      </c>
      <c r="F21" s="20">
        <v>25838.74</v>
      </c>
      <c r="G21" s="20">
        <v>27596.35</v>
      </c>
      <c r="H21" s="20">
        <v>28935.46</v>
      </c>
      <c r="I21" s="20">
        <v>35698.47</v>
      </c>
      <c r="J21" s="20"/>
      <c r="K21" s="20"/>
      <c r="L21" s="20"/>
      <c r="M21" s="20"/>
    </row>
    <row r="22" spans="1:20" ht="15.75" customHeight="1" x14ac:dyDescent="0.25">
      <c r="A22" s="21" t="s">
        <v>31</v>
      </c>
      <c r="B22" s="14">
        <f t="shared" ref="B22:M22" si="1">B18-B21</f>
        <v>25296.929999999993</v>
      </c>
      <c r="C22" s="14">
        <f t="shared" si="1"/>
        <v>19416.619999999995</v>
      </c>
      <c r="D22" s="14">
        <f t="shared" si="1"/>
        <v>20336.080000000005</v>
      </c>
      <c r="E22" s="14">
        <f t="shared" si="1"/>
        <v>28747.550000000003</v>
      </c>
      <c r="F22" s="14">
        <f t="shared" si="1"/>
        <v>26448.579999999998</v>
      </c>
      <c r="G22" s="14">
        <f t="shared" si="1"/>
        <v>29293.739999999998</v>
      </c>
      <c r="H22" s="14">
        <f t="shared" si="1"/>
        <v>23550.810000000005</v>
      </c>
      <c r="I22" s="14">
        <f t="shared" si="1"/>
        <v>31286.039999999994</v>
      </c>
      <c r="J22" s="14"/>
      <c r="K22" s="14"/>
      <c r="L22" s="14"/>
      <c r="M22" s="14"/>
      <c r="R22" s="22"/>
      <c r="S22" s="22"/>
      <c r="T22" s="23"/>
    </row>
    <row r="23" spans="1:20" ht="15.75" customHeight="1" x14ac:dyDescent="0.25">
      <c r="A23" s="15"/>
      <c r="B23" s="16">
        <v>2.7400000000000001E-2</v>
      </c>
      <c r="C23" s="16">
        <v>-0.23250000000000001</v>
      </c>
      <c r="D23" s="16">
        <v>4.7399999999999998E-2</v>
      </c>
      <c r="E23" s="16">
        <v>0.41360000000000002</v>
      </c>
      <c r="F23" s="16">
        <v>-0.08</v>
      </c>
      <c r="G23" s="16">
        <v>0.1076</v>
      </c>
      <c r="H23" s="16">
        <v>-0.19600000000000001</v>
      </c>
      <c r="I23" s="16">
        <v>0.32840000000000003</v>
      </c>
      <c r="J23" s="16"/>
      <c r="K23" s="16"/>
      <c r="L23" s="16"/>
      <c r="M23" s="16"/>
    </row>
    <row r="24" spans="1:20" ht="15.75" customHeight="1" x14ac:dyDescent="0.25">
      <c r="A24" s="15" t="s">
        <v>23</v>
      </c>
      <c r="B24" s="16">
        <v>0.98360000000000003</v>
      </c>
      <c r="C24" s="16">
        <v>-8.0699999999999994E-2</v>
      </c>
      <c r="D24" s="16">
        <v>-0.19359999999999999</v>
      </c>
      <c r="E24" s="16">
        <v>0.1676</v>
      </c>
      <c r="F24" s="16">
        <v>4.5499999999999999E-2</v>
      </c>
      <c r="G24" s="16">
        <v>0.50870000000000004</v>
      </c>
      <c r="H24" s="16">
        <v>0.15809999999999999</v>
      </c>
      <c r="I24" s="16">
        <v>8.8300000000000003E-2</v>
      </c>
      <c r="J24" s="16"/>
      <c r="K24" s="16"/>
      <c r="L24" s="16"/>
      <c r="M24" s="16"/>
    </row>
    <row r="25" spans="1:20" ht="15.75" customHeight="1" x14ac:dyDescent="0.3">
      <c r="A25" s="24" t="s">
        <v>32</v>
      </c>
      <c r="B25" s="11">
        <v>2501.31</v>
      </c>
      <c r="C25" s="11">
        <v>115.28</v>
      </c>
      <c r="D25" s="11">
        <v>687.85</v>
      </c>
      <c r="E25" s="11">
        <v>1609.78</v>
      </c>
      <c r="F25" s="11">
        <v>3449.42</v>
      </c>
      <c r="G25" s="11">
        <v>4505.7299999999996</v>
      </c>
      <c r="H25" s="11">
        <v>911.06</v>
      </c>
      <c r="I25" s="11">
        <v>6441.69</v>
      </c>
      <c r="J25" s="11"/>
      <c r="K25" s="11"/>
      <c r="L25" s="11"/>
      <c r="M25" s="11"/>
    </row>
    <row r="26" spans="1:20" ht="15.75" customHeight="1" x14ac:dyDescent="0.3">
      <c r="A26" s="24" t="s">
        <v>33</v>
      </c>
      <c r="B26" s="25">
        <v>0</v>
      </c>
      <c r="C26" s="25">
        <v>0</v>
      </c>
      <c r="D26" s="25">
        <v>7100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/>
      <c r="K26" s="25"/>
      <c r="L26" s="25"/>
      <c r="M26" s="25"/>
    </row>
    <row r="27" spans="1:20" ht="15.75" customHeight="1" x14ac:dyDescent="0.25">
      <c r="A27" s="21" t="s">
        <v>34</v>
      </c>
      <c r="B27" s="14">
        <v>22795.62</v>
      </c>
      <c r="C27" s="14">
        <v>19301.34</v>
      </c>
      <c r="D27" s="14">
        <v>12548.23</v>
      </c>
      <c r="E27" s="14">
        <v>27137.77</v>
      </c>
      <c r="F27" s="14">
        <v>22999.16</v>
      </c>
      <c r="G27" s="14">
        <v>24788.01</v>
      </c>
      <c r="H27" s="14">
        <v>22639.75</v>
      </c>
      <c r="I27" s="14">
        <v>24844.35</v>
      </c>
      <c r="J27" s="14"/>
      <c r="K27" s="14"/>
      <c r="L27" s="14"/>
      <c r="M27" s="14"/>
    </row>
    <row r="28" spans="1:20" ht="15.75" customHeight="1" x14ac:dyDescent="0.3">
      <c r="A28" s="24" t="s">
        <v>35</v>
      </c>
      <c r="B28" s="11">
        <v>5911.33</v>
      </c>
      <c r="C28" s="11">
        <v>4971.32</v>
      </c>
      <c r="D28" s="11">
        <v>3384.27</v>
      </c>
      <c r="E28" s="12">
        <v>6439.42</v>
      </c>
      <c r="F28" s="11">
        <v>5964</v>
      </c>
      <c r="G28" s="11">
        <v>6456.57</v>
      </c>
      <c r="H28" s="11">
        <v>5748.31</v>
      </c>
      <c r="I28" s="11">
        <v>6201.76</v>
      </c>
      <c r="J28" s="11"/>
      <c r="K28" s="11"/>
      <c r="L28" s="11"/>
      <c r="M28" s="11"/>
    </row>
    <row r="29" spans="1:20" ht="15.75" customHeight="1" x14ac:dyDescent="0.25">
      <c r="A29" s="21" t="s">
        <v>36</v>
      </c>
      <c r="B29" s="14">
        <v>16884.29</v>
      </c>
      <c r="C29" s="14">
        <v>14330.02</v>
      </c>
      <c r="D29" s="14">
        <v>9163.9599999999991</v>
      </c>
      <c r="E29" s="14">
        <v>20698.349999999999</v>
      </c>
      <c r="F29" s="14">
        <v>17035.16</v>
      </c>
      <c r="G29" s="14">
        <v>18331.439999999999</v>
      </c>
      <c r="H29" s="14">
        <v>16891.439999999999</v>
      </c>
      <c r="I29" s="14">
        <v>18642.59</v>
      </c>
      <c r="J29" s="14"/>
      <c r="K29" s="14"/>
      <c r="L29" s="14"/>
      <c r="M29" s="14"/>
    </row>
    <row r="30" spans="1:20" ht="15.75" customHeight="1" x14ac:dyDescent="0.25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</row>
    <row r="31" spans="1:20" ht="15.75" customHeight="1" x14ac:dyDescent="0.25">
      <c r="A31" s="15" t="s">
        <v>23</v>
      </c>
      <c r="B31" s="16">
        <v>1.7825</v>
      </c>
      <c r="C31" s="16">
        <v>8.0299999999999996E-2</v>
      </c>
      <c r="D31" s="16">
        <v>-0.35489999999999999</v>
      </c>
      <c r="E31" s="16">
        <v>0.23980000000000001</v>
      </c>
      <c r="F31" s="16">
        <v>8.8999999999999999E-3</v>
      </c>
      <c r="G31" s="16">
        <v>0.2792</v>
      </c>
      <c r="H31" s="16">
        <v>0.84319999999999995</v>
      </c>
      <c r="I31" s="16">
        <v>-9.9299999999999999E-2</v>
      </c>
      <c r="J31" s="16"/>
      <c r="K31" s="16"/>
      <c r="L31" s="16"/>
      <c r="M31" s="16"/>
    </row>
    <row r="32" spans="1:20" ht="15.75" customHeight="1" x14ac:dyDescent="0.3">
      <c r="A32" s="24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</row>
    <row r="33" spans="1:13" ht="15.75" customHeight="1" x14ac:dyDescent="0.3">
      <c r="A33" s="24" t="s">
        <v>37</v>
      </c>
      <c r="B33" s="27">
        <v>0.14560000000000001</v>
      </c>
      <c r="C33" s="27">
        <v>0.14280000000000001</v>
      </c>
      <c r="D33" s="27">
        <v>0.1305</v>
      </c>
      <c r="E33" s="27">
        <v>0.14280000000000001</v>
      </c>
      <c r="F33" s="27">
        <v>0.1386</v>
      </c>
      <c r="G33" s="27">
        <v>0.1376</v>
      </c>
      <c r="H33" s="27">
        <v>0.1303</v>
      </c>
      <c r="I33" s="27">
        <v>0.14249999999999999</v>
      </c>
      <c r="J33" s="27"/>
      <c r="K33" s="27"/>
      <c r="L33" s="27"/>
      <c r="M33" s="27"/>
    </row>
    <row r="34" spans="1:13" ht="15.75" customHeight="1" x14ac:dyDescent="0.3">
      <c r="A34" s="24" t="s">
        <v>38</v>
      </c>
      <c r="B34" s="12">
        <v>892.46</v>
      </c>
      <c r="C34" s="12">
        <v>892.46</v>
      </c>
      <c r="D34" s="12">
        <v>892.46</v>
      </c>
      <c r="E34" s="12">
        <v>892.46</v>
      </c>
      <c r="F34" s="12">
        <v>892.46</v>
      </c>
      <c r="G34" s="12">
        <v>892.46</v>
      </c>
      <c r="H34" s="12">
        <v>892.46</v>
      </c>
      <c r="I34" s="12">
        <v>892.46</v>
      </c>
      <c r="J34" s="12"/>
      <c r="K34" s="12"/>
      <c r="L34" s="12"/>
      <c r="M34" s="12"/>
    </row>
    <row r="35" spans="1:13" ht="15.75" customHeight="1" x14ac:dyDescent="0.3">
      <c r="A35" s="24" t="s">
        <v>39</v>
      </c>
      <c r="B35" s="12">
        <v>18.920000000000002</v>
      </c>
      <c r="C35" s="12">
        <v>16.059999999999999</v>
      </c>
      <c r="D35" s="12">
        <v>10.27</v>
      </c>
      <c r="E35" s="12">
        <v>23.19</v>
      </c>
      <c r="F35" s="12">
        <v>19.09</v>
      </c>
      <c r="G35" s="12">
        <v>20.54</v>
      </c>
      <c r="H35" s="12">
        <v>18.93</v>
      </c>
      <c r="I35" s="12">
        <v>20.89</v>
      </c>
      <c r="J35" s="12"/>
      <c r="K35" s="12"/>
      <c r="L35" s="12"/>
      <c r="M35" s="12"/>
    </row>
    <row r="36" spans="1:13" ht="15.75" customHeight="1" x14ac:dyDescent="0.3">
      <c r="A36" s="24" t="s">
        <v>40</v>
      </c>
      <c r="B36" s="11">
        <v>343549.17</v>
      </c>
      <c r="C36" s="11">
        <v>358334.87</v>
      </c>
      <c r="D36" s="11">
        <v>368061.45</v>
      </c>
      <c r="E36" s="11">
        <v>376354.07</v>
      </c>
      <c r="F36" s="11">
        <v>396495.83</v>
      </c>
      <c r="G36" s="11">
        <v>418666.86</v>
      </c>
      <c r="H36" s="11">
        <v>434513.91</v>
      </c>
      <c r="I36" s="11">
        <v>440269.66</v>
      </c>
      <c r="J36" s="11"/>
      <c r="K36" s="11"/>
      <c r="L36" s="11"/>
      <c r="M36" s="11"/>
    </row>
    <row r="37" spans="1:13" ht="15.75" customHeight="1" x14ac:dyDescent="0.3">
      <c r="A37" s="24" t="s">
        <v>41</v>
      </c>
      <c r="B37" s="12">
        <v>328.09486139434802</v>
      </c>
      <c r="C37" s="12">
        <v>343.93114537346202</v>
      </c>
      <c r="D37" s="12">
        <v>352.84317504426002</v>
      </c>
      <c r="E37" s="12">
        <v>363.84317504426002</v>
      </c>
      <c r="F37" s="12">
        <v>387.26273446429002</v>
      </c>
      <c r="G37" s="12">
        <v>410.35495148241898</v>
      </c>
      <c r="H37" s="12">
        <v>430.71904623176403</v>
      </c>
      <c r="I37" s="12">
        <v>435.95398113080699</v>
      </c>
      <c r="J37" s="12"/>
      <c r="K37" s="12"/>
      <c r="L37" s="12"/>
      <c r="M37" s="12"/>
    </row>
    <row r="38" spans="1:13" ht="15.75" customHeight="1" x14ac:dyDescent="0.3">
      <c r="A38" s="24" t="s">
        <v>42</v>
      </c>
      <c r="B38" s="12">
        <v>328.09486139434802</v>
      </c>
      <c r="C38" s="12">
        <v>343.93114537346202</v>
      </c>
      <c r="D38" s="12">
        <v>352.84317504426002</v>
      </c>
      <c r="E38" s="12">
        <v>363.84317504426002</v>
      </c>
      <c r="F38" s="12">
        <v>387.26273446429002</v>
      </c>
      <c r="G38" s="12">
        <v>410.35495148241898</v>
      </c>
      <c r="H38" s="12">
        <v>430.71904623176403</v>
      </c>
      <c r="I38" s="12">
        <v>435.95398113080699</v>
      </c>
      <c r="J38" s="12"/>
      <c r="K38" s="12"/>
      <c r="L38" s="12"/>
      <c r="M38" s="12"/>
    </row>
    <row r="39" spans="1:13" ht="15.75" customHeight="1" x14ac:dyDescent="0.3">
      <c r="A39" s="24" t="s">
        <v>43</v>
      </c>
      <c r="B39" s="27">
        <f t="shared" ref="B39:M39" si="2">B21/B18</f>
        <v>0.50367355571587302</v>
      </c>
      <c r="C39" s="27">
        <f t="shared" si="2"/>
        <v>0.613911469322591</v>
      </c>
      <c r="D39" s="27">
        <f t="shared" si="2"/>
        <v>0.60338904444556685</v>
      </c>
      <c r="E39" s="27">
        <f t="shared" si="2"/>
        <v>0.51295514197169845</v>
      </c>
      <c r="F39" s="27">
        <f t="shared" si="2"/>
        <v>0.49416837581272099</v>
      </c>
      <c r="G39" s="27">
        <f t="shared" si="2"/>
        <v>0.48508184817426026</v>
      </c>
      <c r="H39" s="27">
        <f t="shared" si="2"/>
        <v>0.55129579602436973</v>
      </c>
      <c r="I39" s="27">
        <f t="shared" si="2"/>
        <v>0.53293619674160497</v>
      </c>
      <c r="J39" s="27"/>
      <c r="K39" s="27"/>
      <c r="L39" s="27"/>
      <c r="M39" s="27"/>
    </row>
    <row r="40" spans="1:13" ht="15.75" customHeight="1" x14ac:dyDescent="0.3">
      <c r="A40" s="24" t="s">
        <v>44</v>
      </c>
      <c r="B40" s="27">
        <v>0.13789999999999999</v>
      </c>
      <c r="C40" s="27">
        <v>8.5099999999999995E-2</v>
      </c>
      <c r="D40" s="27">
        <v>8.3199999999999996E-2</v>
      </c>
      <c r="E40" s="27">
        <v>0.10249999999999999</v>
      </c>
      <c r="F40" s="27">
        <v>0.1371</v>
      </c>
      <c r="G40" s="27">
        <v>0.1232</v>
      </c>
      <c r="H40" s="27">
        <v>0.1065</v>
      </c>
      <c r="I40" s="27">
        <v>5.91E-2</v>
      </c>
      <c r="J40" s="27"/>
      <c r="K40" s="27"/>
      <c r="L40" s="27"/>
      <c r="M40" s="27"/>
    </row>
    <row r="41" spans="1:13" ht="15.75" customHeight="1" x14ac:dyDescent="0.3">
      <c r="A41" s="24" t="s">
        <v>45</v>
      </c>
      <c r="B41" s="27">
        <v>0.11169999999999999</v>
      </c>
      <c r="C41" s="27">
        <v>9.6199999999999994E-2</v>
      </c>
      <c r="D41" s="27">
        <v>9.7000000000000003E-2</v>
      </c>
      <c r="E41" s="27">
        <v>0.1353</v>
      </c>
      <c r="F41" s="27">
        <v>9.0999999999999998E-2</v>
      </c>
      <c r="G41" s="27">
        <v>0.1182</v>
      </c>
      <c r="H41" s="27">
        <v>8.5900000000000004E-2</v>
      </c>
      <c r="I41" s="27">
        <v>0.16830000000000001</v>
      </c>
      <c r="J41" s="27"/>
      <c r="K41" s="27"/>
      <c r="L41" s="27"/>
      <c r="M41" s="27"/>
    </row>
    <row r="42" spans="1:13" ht="15.75" customHeight="1" x14ac:dyDescent="0.3">
      <c r="A42" s="24" t="s">
        <v>46</v>
      </c>
      <c r="B42" s="11">
        <v>91327.84</v>
      </c>
      <c r="C42" s="11">
        <v>86974.080000000002</v>
      </c>
      <c r="D42" s="11">
        <v>86748.81</v>
      </c>
      <c r="E42" s="11">
        <v>84276.33</v>
      </c>
      <c r="F42" s="11">
        <v>84226.04</v>
      </c>
      <c r="G42" s="11">
        <v>83369.23</v>
      </c>
      <c r="H42" s="11">
        <v>84360.38</v>
      </c>
      <c r="I42" s="11">
        <v>76880.2</v>
      </c>
      <c r="J42" s="11"/>
      <c r="K42" s="11"/>
      <c r="L42" s="11"/>
      <c r="M42" s="11"/>
    </row>
    <row r="43" spans="1:13" ht="15.75" customHeight="1" x14ac:dyDescent="0.3">
      <c r="A43" s="24" t="s">
        <v>47</v>
      </c>
      <c r="B43" s="11">
        <v>22995.37</v>
      </c>
      <c r="C43" s="11">
        <v>21352.400000000001</v>
      </c>
      <c r="D43" s="11">
        <v>22408.38</v>
      </c>
      <c r="E43" s="11">
        <v>21051.08</v>
      </c>
      <c r="F43" s="11">
        <v>21554.69</v>
      </c>
      <c r="G43" s="11">
        <v>20294.32</v>
      </c>
      <c r="H43" s="11">
        <v>21377.64</v>
      </c>
      <c r="I43" s="11">
        <v>19666.919999999998</v>
      </c>
      <c r="J43" s="11"/>
      <c r="K43" s="11"/>
      <c r="L43" s="11"/>
      <c r="M43" s="11"/>
    </row>
    <row r="44" spans="1:13" ht="15.75" customHeight="1" x14ac:dyDescent="0.3">
      <c r="A44" s="24" t="s">
        <v>48</v>
      </c>
      <c r="B44" s="27">
        <v>2.76E-2</v>
      </c>
      <c r="C44" s="27">
        <v>2.5499999999999998E-2</v>
      </c>
      <c r="D44" s="27">
        <v>2.4199999999999999E-2</v>
      </c>
      <c r="E44" s="27">
        <v>2.24E-2</v>
      </c>
      <c r="F44" s="27">
        <v>2.2100000000000002E-2</v>
      </c>
      <c r="G44" s="27">
        <v>2.1299999999999999E-2</v>
      </c>
      <c r="H44" s="27">
        <v>2.07E-2</v>
      </c>
      <c r="I44" s="27">
        <v>1.8200000000000001E-2</v>
      </c>
      <c r="J44" s="27"/>
      <c r="K44" s="27"/>
      <c r="L44" s="27"/>
      <c r="M44" s="27"/>
    </row>
    <row r="45" spans="1:13" ht="15.75" customHeight="1" x14ac:dyDescent="0.3">
      <c r="A45" s="24" t="s">
        <v>49</v>
      </c>
      <c r="B45" s="27">
        <v>7.1000000000000004E-3</v>
      </c>
      <c r="C45" s="27">
        <v>6.4000000000000003E-3</v>
      </c>
      <c r="D45" s="27">
        <v>6.4000000000000003E-3</v>
      </c>
      <c r="E45" s="27">
        <v>5.7000000000000002E-3</v>
      </c>
      <c r="F45" s="27">
        <v>5.7000000000000002E-3</v>
      </c>
      <c r="G45" s="27">
        <v>5.3E-3</v>
      </c>
      <c r="H45" s="27">
        <v>5.3E-3</v>
      </c>
      <c r="I45" s="27">
        <v>4.7000000000000002E-3</v>
      </c>
      <c r="J45" s="27"/>
      <c r="K45" s="27"/>
      <c r="L45" s="27"/>
      <c r="M45" s="27"/>
    </row>
    <row r="46" spans="1:13" ht="15.75" customHeight="1" x14ac:dyDescent="0.3">
      <c r="A46" s="24" t="s">
        <v>50</v>
      </c>
      <c r="B46" s="27">
        <v>1.2200000000000001E-2</v>
      </c>
      <c r="C46" s="27">
        <v>1.01E-2</v>
      </c>
      <c r="D46" s="27">
        <v>6.1999999999999998E-3</v>
      </c>
      <c r="E46" s="27">
        <v>1.3599999999999999E-2</v>
      </c>
      <c r="F46" s="27">
        <v>1.0999999999999999E-2</v>
      </c>
      <c r="G46" s="27">
        <v>1.17E-2</v>
      </c>
      <c r="H46" s="27">
        <v>1.04E-2</v>
      </c>
      <c r="I46" s="27">
        <v>1.12E-2</v>
      </c>
      <c r="J46" s="27"/>
      <c r="K46" s="27"/>
      <c r="L46" s="27"/>
      <c r="M46" s="27"/>
    </row>
    <row r="47" spans="1:13" ht="15.75" customHeight="1" x14ac:dyDescent="0.3">
      <c r="A47" s="24" t="s">
        <v>51</v>
      </c>
      <c r="B47" s="27">
        <v>0.23719999999999999</v>
      </c>
      <c r="C47" s="27">
        <v>0.19109999999999999</v>
      </c>
      <c r="D47" s="27">
        <v>0.1179</v>
      </c>
      <c r="E47" s="27">
        <v>0.25890000000000002</v>
      </c>
      <c r="F47" s="27">
        <v>0.20330000000000001</v>
      </c>
      <c r="G47" s="27">
        <v>0.20599999999999999</v>
      </c>
      <c r="H47" s="27">
        <v>0.18</v>
      </c>
      <c r="I47" s="27">
        <v>0.1928</v>
      </c>
      <c r="J47" s="27"/>
      <c r="K47" s="27"/>
      <c r="L47" s="27"/>
      <c r="M47" s="27"/>
    </row>
    <row r="48" spans="1:13" ht="15.75" customHeight="1" x14ac:dyDescent="0.3">
      <c r="A48" s="24" t="s">
        <v>52</v>
      </c>
      <c r="B48" s="27">
        <v>3.4700000000000002E-2</v>
      </c>
      <c r="C48" s="27">
        <v>3.4299999999999997E-2</v>
      </c>
      <c r="D48" s="27">
        <v>3.3399999999999999E-2</v>
      </c>
      <c r="E48" s="27">
        <v>3.4700000000000002E-2</v>
      </c>
      <c r="F48" s="27">
        <v>3.3500000000000002E-2</v>
      </c>
      <c r="G48" s="27">
        <v>3.27E-2</v>
      </c>
      <c r="H48" s="27">
        <v>3.15E-2</v>
      </c>
      <c r="I48" s="27">
        <v>3.15E-2</v>
      </c>
      <c r="J48" s="27"/>
      <c r="K48" s="27"/>
      <c r="L48" s="27"/>
      <c r="M48" s="27"/>
    </row>
    <row r="49" spans="1:13" ht="15.75" customHeight="1" x14ac:dyDescent="0.3">
      <c r="A49" s="24" t="s">
        <v>53</v>
      </c>
      <c r="B49" s="27">
        <v>2.81E-2</v>
      </c>
      <c r="C49" s="27">
        <v>2.7799999999999998E-2</v>
      </c>
      <c r="D49" s="27">
        <v>2.7E-2</v>
      </c>
      <c r="E49" s="27">
        <v>2.7400000000000001E-2</v>
      </c>
      <c r="F49" s="27">
        <v>2.6599999999999999E-2</v>
      </c>
      <c r="G49" s="27">
        <v>2.6599999999999999E-2</v>
      </c>
      <c r="H49" s="27">
        <v>2.5600000000000001E-2</v>
      </c>
      <c r="I49" s="27">
        <v>2.5700000000000001E-2</v>
      </c>
      <c r="J49" s="27"/>
      <c r="K49" s="27"/>
      <c r="L49" s="27"/>
      <c r="M49" s="27"/>
    </row>
    <row r="50" spans="1:13" ht="15.75" customHeight="1" x14ac:dyDescent="0.3">
      <c r="A50" s="24" t="s">
        <v>54</v>
      </c>
      <c r="B50" s="27">
        <v>0.74819999999999998</v>
      </c>
      <c r="C50" s="27">
        <v>0.75449999999999995</v>
      </c>
      <c r="D50" s="27">
        <v>0.74170000000000003</v>
      </c>
      <c r="E50" s="27">
        <v>0.75019999999999998</v>
      </c>
      <c r="F50" s="27">
        <v>0.74409999999999998</v>
      </c>
      <c r="G50" s="27">
        <v>0.75660000000000005</v>
      </c>
      <c r="H50" s="27">
        <v>0.74660000000000004</v>
      </c>
      <c r="I50" s="27">
        <v>0.74419999999999997</v>
      </c>
      <c r="J50" s="27"/>
      <c r="K50" s="27"/>
      <c r="L50" s="27"/>
      <c r="M50" s="27"/>
    </row>
    <row r="51" spans="1:13" ht="15.75" customHeight="1" x14ac:dyDescent="0.3">
      <c r="A51" s="28" t="s">
        <v>55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</row>
    <row r="52" spans="1:13" ht="15.75" customHeight="1" x14ac:dyDescent="0.3">
      <c r="A52" s="24" t="s">
        <v>56</v>
      </c>
      <c r="B52" s="11">
        <v>3235022.67</v>
      </c>
      <c r="C52" s="11">
        <v>3345167.32</v>
      </c>
      <c r="D52" s="11">
        <v>3519514.28</v>
      </c>
      <c r="E52" s="11">
        <v>3703097.5</v>
      </c>
      <c r="F52" s="11">
        <v>3749138.93</v>
      </c>
      <c r="G52" s="11">
        <v>3857423.46</v>
      </c>
      <c r="H52" s="11">
        <v>4004566.94</v>
      </c>
      <c r="I52" s="11">
        <v>4163312.1</v>
      </c>
      <c r="J52" s="11"/>
      <c r="K52" s="11"/>
      <c r="L52" s="11"/>
      <c r="M52" s="11"/>
    </row>
    <row r="53" spans="1:13" ht="15.75" customHeight="1" x14ac:dyDescent="0.3">
      <c r="A53" s="24" t="s">
        <v>57</v>
      </c>
      <c r="B53" s="11">
        <v>5543075.6500000004</v>
      </c>
      <c r="C53" s="11">
        <v>5826318.2599999998</v>
      </c>
      <c r="D53" s="11">
        <v>5965616.29</v>
      </c>
      <c r="E53" s="11">
        <v>6179693.9400000004</v>
      </c>
      <c r="F53" s="11">
        <v>6191154.0099999998</v>
      </c>
      <c r="G53" s="11">
        <v>6341459.3399999999</v>
      </c>
      <c r="H53" s="11">
        <v>6620674.4400000004</v>
      </c>
      <c r="I53" s="11">
        <v>6676053.2699999996</v>
      </c>
      <c r="J53" s="11"/>
      <c r="K53" s="11"/>
      <c r="L53" s="11"/>
      <c r="M53" s="11"/>
    </row>
    <row r="54" spans="1:13" s="29" customFormat="1" ht="15.75" customHeight="1" x14ac:dyDescent="0.25">
      <c r="A54" s="28" t="s">
        <v>58</v>
      </c>
      <c r="B54" s="20">
        <v>4531236.68</v>
      </c>
      <c r="C54" s="20">
        <v>4689218.47</v>
      </c>
      <c r="D54" s="20">
        <v>4762220.6900000004</v>
      </c>
      <c r="E54" s="20">
        <v>4916076.7699999996</v>
      </c>
      <c r="F54" s="20">
        <v>4901725.9000000004</v>
      </c>
      <c r="G54" s="20">
        <v>5117284.9000000004</v>
      </c>
      <c r="H54" s="20">
        <v>5229384.4800000004</v>
      </c>
      <c r="I54" s="20">
        <v>5382189.5300000003</v>
      </c>
      <c r="J54" s="20"/>
      <c r="K54" s="20"/>
      <c r="L54" s="20"/>
      <c r="M54" s="20"/>
    </row>
    <row r="55" spans="1:13" ht="15.75" customHeight="1" x14ac:dyDescent="0.3">
      <c r="A55" s="24" t="s">
        <v>59</v>
      </c>
      <c r="B55" s="11">
        <v>2486168</v>
      </c>
      <c r="C55" s="11">
        <v>2617326</v>
      </c>
      <c r="D55" s="11">
        <v>2686630</v>
      </c>
      <c r="E55" s="11">
        <v>2782340</v>
      </c>
      <c r="F55" s="11">
        <v>2789510</v>
      </c>
      <c r="G55" s="11">
        <v>2944629</v>
      </c>
      <c r="H55" s="11">
        <v>3048623</v>
      </c>
      <c r="I55" s="11">
        <v>3101702</v>
      </c>
      <c r="J55" s="11"/>
      <c r="K55" s="11"/>
      <c r="L55" s="11"/>
      <c r="M55" s="11"/>
    </row>
    <row r="56" spans="1:13" ht="15.75" customHeight="1" x14ac:dyDescent="0.3">
      <c r="A56" s="24" t="s">
        <v>60</v>
      </c>
      <c r="B56" s="11">
        <v>1866059</v>
      </c>
      <c r="C56" s="11">
        <v>1886014</v>
      </c>
      <c r="D56" s="11">
        <v>1881297</v>
      </c>
      <c r="E56" s="11">
        <v>1941996</v>
      </c>
      <c r="F56" s="11">
        <v>1914440</v>
      </c>
      <c r="G56" s="11">
        <v>1965899</v>
      </c>
      <c r="H56" s="11">
        <v>1965237</v>
      </c>
      <c r="I56" s="11">
        <v>2065161</v>
      </c>
      <c r="J56" s="11"/>
      <c r="K56" s="11"/>
      <c r="L56" s="11"/>
      <c r="M56" s="11"/>
    </row>
    <row r="57" spans="1:13" ht="15.75" customHeight="1" x14ac:dyDescent="0.25">
      <c r="A57" s="30" t="s">
        <v>61</v>
      </c>
      <c r="B57" s="31">
        <v>0.42880000000000001</v>
      </c>
      <c r="C57" s="31">
        <v>0.41880000000000001</v>
      </c>
      <c r="D57" s="31">
        <v>0.4118</v>
      </c>
      <c r="E57" s="31">
        <v>0.41110000000000002</v>
      </c>
      <c r="F57" s="31">
        <v>0.40699999999999997</v>
      </c>
      <c r="G57" s="31">
        <v>0.40029999999999999</v>
      </c>
      <c r="H57" s="31">
        <v>0.39200000000000002</v>
      </c>
      <c r="I57" s="31">
        <v>0.3997</v>
      </c>
      <c r="J57" s="31"/>
      <c r="K57" s="31"/>
      <c r="L57" s="31"/>
      <c r="M57" s="31"/>
    </row>
    <row r="58" spans="1:13" ht="16.5" customHeight="1" x14ac:dyDescent="0.3">
      <c r="A58" s="24" t="s">
        <v>62</v>
      </c>
      <c r="B58" s="24"/>
      <c r="C58" s="24"/>
      <c r="D58" s="24"/>
      <c r="E58" s="24"/>
      <c r="F58" s="24"/>
      <c r="G58" s="24"/>
      <c r="H58" s="24"/>
      <c r="I58" s="24"/>
      <c r="J58" s="32"/>
      <c r="K58" s="32"/>
      <c r="L58" s="32"/>
      <c r="M58" s="32"/>
    </row>
    <row r="59" spans="1:13" ht="16.5" customHeight="1" x14ac:dyDescent="0.3">
      <c r="A59" s="24" t="s">
        <v>63</v>
      </c>
      <c r="B59" s="24"/>
      <c r="C59" s="24"/>
      <c r="D59" s="24"/>
      <c r="E59" s="24"/>
      <c r="F59" s="24"/>
      <c r="G59" s="24"/>
      <c r="H59" s="24"/>
      <c r="I59" s="24"/>
      <c r="J59" s="32"/>
      <c r="K59" s="32"/>
      <c r="L59" s="32"/>
      <c r="M59" s="32"/>
    </row>
    <row r="60" spans="1:13" ht="16.5" customHeight="1" x14ac:dyDescent="0.3">
      <c r="A60" s="24" t="s">
        <v>64</v>
      </c>
      <c r="B60" s="24"/>
      <c r="C60" s="24"/>
      <c r="D60" s="24"/>
      <c r="E60" s="24"/>
      <c r="F60" s="24"/>
      <c r="G60" s="24"/>
      <c r="H60" s="24"/>
      <c r="I60" s="24"/>
      <c r="J60" s="32"/>
      <c r="K60" s="32"/>
      <c r="L60" s="32"/>
      <c r="M60" s="32"/>
    </row>
    <row r="61" spans="1:13" ht="16.5" customHeight="1" x14ac:dyDescent="0.3">
      <c r="A61" s="24" t="s">
        <v>65</v>
      </c>
      <c r="B61" s="24"/>
      <c r="C61" s="24"/>
      <c r="D61" s="24"/>
      <c r="E61" s="24"/>
      <c r="F61" s="24"/>
      <c r="G61" s="24"/>
      <c r="H61" s="24"/>
      <c r="I61" s="24"/>
      <c r="J61" s="32"/>
      <c r="K61" s="32"/>
      <c r="L61" s="32"/>
      <c r="M61" s="32"/>
    </row>
  </sheetData>
  <mergeCells count="4">
    <mergeCell ref="B3:E3"/>
    <mergeCell ref="F3:I3"/>
    <mergeCell ref="J3:K3"/>
    <mergeCell ref="L3:M3"/>
  </mergeCells>
  <pageMargins left="0.35416666666666702" right="0.27569444444444402" top="0.31527777777777799" bottom="0.23611111111111099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cp:lastPrinted>2026-08-12T07:59:37Z</cp:lastPrinted>
  <dcterms:created xsi:type="dcterms:W3CDTF">2026-08-05T04:45:04Z</dcterms:created>
  <dcterms:modified xsi:type="dcterms:W3CDTF">2026-08-13T03:13:40Z</dcterms:modified>
  <dc:language>en-US</dc:language>
</cp:coreProperties>
</file>